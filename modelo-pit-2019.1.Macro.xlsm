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frchi\Desktop\"/>
    </mc:Choice>
  </mc:AlternateContent>
  <xr:revisionPtr revIDLastSave="0" documentId="13_ncr:1_{56D8ACF8-C552-42E6-8998-C9F02A3B84A0}" xr6:coauthVersionLast="41" xr6:coauthVersionMax="41" xr10:uidLastSave="{00000000-0000-0000-0000-000000000000}"/>
  <bookViews>
    <workbookView xWindow="5760" yWindow="2232" windowWidth="17280" windowHeight="8964" activeTab="1" xr2:uid="{00000000-000D-0000-FFFF-FFFF00000000}"/>
  </bookViews>
  <sheets>
    <sheet name="Página1" sheetId="1" r:id="rId1"/>
    <sheet name="Resumo" sheetId="2" r:id="rId2"/>
    <sheet name="Planilha1" sheetId="3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1" i="1" l="1"/>
  <c r="G8" i="2"/>
  <c r="G7" i="2"/>
  <c r="F15" i="3"/>
  <c r="J8" i="2"/>
  <c r="J7" i="2"/>
  <c r="K8" i="2"/>
  <c r="K7" i="2"/>
  <c r="H7" i="2"/>
  <c r="B5" i="2"/>
  <c r="B8" i="2"/>
  <c r="H8" i="2"/>
  <c r="I8" i="2"/>
  <c r="B7" i="2"/>
  <c r="I7" i="2"/>
  <c r="B4" i="2"/>
  <c r="K4" i="2"/>
  <c r="J4" i="2"/>
  <c r="G4" i="2"/>
  <c r="I4" i="2"/>
  <c r="J2" i="1"/>
  <c r="H4" i="2"/>
  <c r="G5" i="2" l="1"/>
  <c r="K5" i="2"/>
  <c r="K6" i="2" s="1"/>
  <c r="H5" i="2"/>
  <c r="H6" i="2" s="1"/>
  <c r="J5" i="2"/>
  <c r="J6" i="2" s="1"/>
  <c r="I5" i="2"/>
  <c r="I6" i="2" s="1"/>
  <c r="B6" i="2"/>
  <c r="G6" i="2" l="1"/>
  <c r="G12" i="2"/>
  <c r="I12" i="2" s="1"/>
</calcChain>
</file>

<file path=xl/sharedStrings.xml><?xml version="1.0" encoding="utf-8"?>
<sst xmlns="http://schemas.openxmlformats.org/spreadsheetml/2006/main" count="74" uniqueCount="55">
  <si>
    <t>Horário (5 min)</t>
  </si>
  <si>
    <t>Segunda</t>
  </si>
  <si>
    <t>Terça</t>
  </si>
  <si>
    <t>Quarta</t>
  </si>
  <si>
    <t>Quinta</t>
  </si>
  <si>
    <t>Sexta</t>
  </si>
  <si>
    <t>QUADRO DE HORÁRIOS</t>
  </si>
  <si>
    <t>Manhã</t>
  </si>
  <si>
    <t>7h - 8h</t>
  </si>
  <si>
    <t>OBS: CADA BLOCO DE HORA ESTÁ SEPARADO EM 12 PARTES, REPRESENTANDO 5MIN. PERMITINDO ASSIM, MAIOR FLEXIBILIDADE E VERACIDADE NO CADASTRO DO PLANO INDIVIDUAL DE TRABALHO DO DOCENTE</t>
  </si>
  <si>
    <t>8h - 9h</t>
  </si>
  <si>
    <t>9h - 10h</t>
  </si>
  <si>
    <t>10h - 11h</t>
  </si>
  <si>
    <t>11h - 12h</t>
  </si>
  <si>
    <t>Tarde</t>
  </si>
  <si>
    <t>12h - 13h</t>
  </si>
  <si>
    <t>13h - 14h</t>
  </si>
  <si>
    <t>14h - 15h</t>
  </si>
  <si>
    <t>15h - 16h</t>
  </si>
  <si>
    <t>16h - 17h</t>
  </si>
  <si>
    <t>17h - 18h</t>
  </si>
  <si>
    <t>Noite</t>
  </si>
  <si>
    <t>18h - 19h</t>
  </si>
  <si>
    <t>19h - 20h</t>
  </si>
  <si>
    <t>20h - 21h</t>
  </si>
  <si>
    <t>21h - 22h</t>
  </si>
  <si>
    <t>22h - 23h</t>
  </si>
  <si>
    <t>LEEL.7</t>
  </si>
  <si>
    <t>BSI18L.18</t>
  </si>
  <si>
    <t>BSI18L.36</t>
  </si>
  <si>
    <t>Carga horária Semanal</t>
  </si>
  <si>
    <t>Carga Horária Diária</t>
  </si>
  <si>
    <t>Qtd Minutos Por Celula</t>
  </si>
  <si>
    <t>Tempo Alocado Em Minutos</t>
  </si>
  <si>
    <t>Tempo Alocado Em Horas</t>
  </si>
  <si>
    <t>Alocado</t>
  </si>
  <si>
    <t>Pendente</t>
  </si>
  <si>
    <t>Tempo Total (Horas)</t>
  </si>
  <si>
    <t>QtdCelulasPreenchidas</t>
  </si>
  <si>
    <t>QtdCelulasQueFaltam</t>
  </si>
  <si>
    <t>SEG</t>
  </si>
  <si>
    <t>TER</t>
  </si>
  <si>
    <t>QUA</t>
  </si>
  <si>
    <t>QUI</t>
  </si>
  <si>
    <t>SEX</t>
  </si>
  <si>
    <t>Tempo Pendente Em Horas</t>
  </si>
  <si>
    <t>MC - Jornada de atualização em ferramentas computacionais que auxiliam a pesquisa científica</t>
  </si>
  <si>
    <t>Reunião CBSI</t>
  </si>
  <si>
    <t>Atendimento</t>
  </si>
  <si>
    <t>Manutenção de Ensino</t>
  </si>
  <si>
    <t>Reunião</t>
  </si>
  <si>
    <t>XXX</t>
  </si>
  <si>
    <t>Manutenção de ensino</t>
  </si>
  <si>
    <t>x</t>
  </si>
  <si>
    <t>Pesquisa Orquestração e Sistemas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</si>
</sst>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0"/>
      <color rgb="FF000000"/>
      <name val="Arial"/>
    </font>
    <font>
      <sz val="11"/>
      <name val="Calibri"/>
    </font>
    <font>
      <b/>
      <sz val="11"/>
      <color rgb="FF000000"/>
      <name val="Calibri"/>
    </font>
    <font>
      <sz val="11"/>
      <color rgb="FF000000"/>
      <name val="Calibri"/>
    </font>
    <font>
      <sz val="10"/>
      <name val="Arial"/>
    </font>
  </fonts>
  <fills count="4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8DB3E2"/>
        <bgColor rgb="FF8DB3E2"/>
      </patternFill>
    </fill>
  </fills>
  <borders count="33">
    <border>
      <left/>
      <right/>
      <top/>
      <bottom/>
      <diagonal/>
    </border>
    <border>
      <left style="thick">
        <color rgb="FF000000"/>
      </left>
      <right style="thin">
        <color rgb="FF000000"/>
      </right>
      <top style="thick">
        <color rgb="FF000000"/>
      </top>
      <bottom style="thin">
        <color rgb="FF000000"/>
      </bottom>
      <diagonal/>
    </border>
    <border>
      <left/>
      <right style="thin">
        <color rgb="FF000000"/>
      </right>
      <top style="thick">
        <color rgb="FF000000"/>
      </top>
      <bottom style="thin">
        <color rgb="FF000000"/>
      </bottom>
      <diagonal/>
    </border>
    <border>
      <left/>
      <right style="thick">
        <color rgb="FF000000"/>
      </right>
      <top style="thick">
        <color rgb="FF000000"/>
      </top>
      <bottom style="thin">
        <color rgb="FF000000"/>
      </bottom>
      <diagonal/>
    </border>
    <border>
      <left style="thick">
        <color rgb="FF000000"/>
      </left>
      <right/>
      <top/>
      <bottom style="thick">
        <color rgb="FF000000"/>
      </bottom>
      <diagonal/>
    </border>
    <border>
      <left/>
      <right/>
      <top/>
      <bottom style="thick">
        <color rgb="FF000000"/>
      </bottom>
      <diagonal/>
    </border>
    <border>
      <left/>
      <right style="thick">
        <color rgb="FF000000"/>
      </right>
      <top/>
      <bottom style="thick">
        <color rgb="FF000000"/>
      </bottom>
      <diagonal/>
    </border>
    <border>
      <left style="thick">
        <color rgb="FF000000"/>
      </left>
      <right style="thin">
        <color rgb="FF000000"/>
      </right>
      <top style="thick">
        <color rgb="FF000000"/>
      </top>
      <bottom/>
      <diagonal/>
    </border>
    <border>
      <left/>
      <right style="thin">
        <color rgb="FF000000"/>
      </right>
      <top style="thick">
        <color rgb="FF000000"/>
      </top>
      <bottom/>
      <diagonal/>
    </border>
    <border>
      <left/>
      <right style="thin">
        <color rgb="FF000000"/>
      </right>
      <top style="thick">
        <color rgb="FF000000"/>
      </top>
      <bottom style="thin">
        <color rgb="FF000000"/>
      </bottom>
      <diagonal/>
    </border>
    <border>
      <left/>
      <right style="thick">
        <color rgb="FF000000"/>
      </right>
      <top style="thick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ck">
        <color rgb="FF000000"/>
      </right>
      <top/>
      <bottom style="thin">
        <color rgb="FF000000"/>
      </bottom>
      <diagonal/>
    </border>
    <border>
      <left/>
      <right style="thick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/>
      <bottom style="thick">
        <color rgb="FF000000"/>
      </bottom>
      <diagonal/>
    </border>
    <border>
      <left/>
      <right style="thin">
        <color rgb="FF000000"/>
      </right>
      <top/>
      <bottom style="thick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 style="thin">
        <color rgb="FF000000"/>
      </right>
      <top style="thick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ck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/>
      <diagonal/>
    </border>
    <border>
      <left style="thin">
        <color rgb="FF000000"/>
      </left>
      <right style="thick">
        <color rgb="FF000000"/>
      </right>
      <top/>
      <bottom/>
      <diagonal/>
    </border>
    <border>
      <left style="thin">
        <color rgb="FF000000"/>
      </left>
      <right style="thick">
        <color rgb="FF000000"/>
      </right>
      <top/>
      <bottom style="thick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61">
    <xf numFmtId="0" fontId="0" fillId="0" borderId="0" xfId="0"/>
    <xf numFmtId="0" fontId="1" fillId="0" borderId="0" xfId="0" applyFont="1"/>
    <xf numFmtId="0" fontId="2" fillId="2" borderId="1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0" borderId="9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4" fillId="0" borderId="0" xfId="0" applyFont="1" applyAlignment="1">
      <alignment horizontal="center"/>
    </xf>
    <xf numFmtId="0" fontId="1" fillId="0" borderId="25" xfId="0" applyFont="1" applyBorder="1" applyAlignment="1">
      <alignment vertical="center"/>
    </xf>
    <xf numFmtId="0" fontId="1" fillId="0" borderId="24" xfId="0" applyFont="1" applyBorder="1" applyAlignment="1">
      <alignment vertical="center"/>
    </xf>
    <xf numFmtId="0" fontId="0" fillId="0" borderId="30" xfId="0" applyBorder="1"/>
    <xf numFmtId="2" fontId="0" fillId="0" borderId="30" xfId="0" applyNumberFormat="1" applyBorder="1"/>
    <xf numFmtId="0" fontId="2" fillId="3" borderId="7" xfId="0" applyFont="1" applyFill="1" applyBorder="1" applyAlignment="1">
      <alignment horizontal="center" vertical="center"/>
    </xf>
    <xf numFmtId="0" fontId="4" fillId="0" borderId="11" xfId="0" applyFont="1" applyBorder="1"/>
    <xf numFmtId="0" fontId="4" fillId="0" borderId="18" xfId="0" applyFont="1" applyBorder="1"/>
    <xf numFmtId="0" fontId="2" fillId="0" borderId="12" xfId="0" applyFont="1" applyBorder="1" applyAlignment="1">
      <alignment horizontal="center" vertical="center"/>
    </xf>
    <xf numFmtId="0" fontId="4" fillId="0" borderId="12" xfId="0" applyFont="1" applyBorder="1"/>
    <xf numFmtId="0" fontId="4" fillId="0" borderId="19" xfId="0" applyFont="1" applyBorder="1"/>
    <xf numFmtId="0" fontId="4" fillId="0" borderId="13" xfId="0" applyFont="1" applyBorder="1"/>
    <xf numFmtId="0" fontId="2" fillId="0" borderId="8" xfId="0" applyFont="1" applyBorder="1" applyAlignment="1">
      <alignment horizontal="center" vertical="center"/>
    </xf>
    <xf numFmtId="0" fontId="0" fillId="0" borderId="25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4" fillId="0" borderId="0" xfId="0" applyFont="1" applyAlignment="1">
      <alignment horizontal="center" vertical="center" wrapText="1"/>
    </xf>
    <xf numFmtId="0" fontId="0" fillId="0" borderId="0" xfId="0"/>
    <xf numFmtId="0" fontId="3" fillId="3" borderId="4" xfId="0" applyFont="1" applyFill="1" applyBorder="1" applyAlignment="1">
      <alignment horizontal="center"/>
    </xf>
    <xf numFmtId="0" fontId="4" fillId="0" borderId="5" xfId="0" applyFont="1" applyBorder="1"/>
    <xf numFmtId="0" fontId="4" fillId="0" borderId="6" xfId="0" applyFont="1" applyBorder="1"/>
    <xf numFmtId="0" fontId="2" fillId="3" borderId="25" xfId="0" applyFont="1" applyFill="1" applyBorder="1" applyAlignment="1">
      <alignment horizontal="center" vertical="center"/>
    </xf>
    <xf numFmtId="0" fontId="4" fillId="0" borderId="23" xfId="0" applyFont="1" applyBorder="1"/>
    <xf numFmtId="0" fontId="4" fillId="0" borderId="24" xfId="0" applyFont="1" applyBorder="1"/>
    <xf numFmtId="0" fontId="2" fillId="3" borderId="22" xfId="0" applyFont="1" applyFill="1" applyBorder="1" applyAlignment="1">
      <alignment horizontal="center" vertical="center"/>
    </xf>
    <xf numFmtId="0" fontId="1" fillId="0" borderId="27" xfId="0" applyFont="1" applyBorder="1" applyAlignment="1">
      <alignment horizontal="center" vertical="center" wrapText="1"/>
    </xf>
    <xf numFmtId="0" fontId="1" fillId="0" borderId="28" xfId="0" applyFont="1" applyBorder="1" applyAlignment="1">
      <alignment horizontal="center" vertical="center" wrapText="1"/>
    </xf>
    <xf numFmtId="0" fontId="1" fillId="0" borderId="29" xfId="0" applyFont="1" applyBorder="1" applyAlignment="1">
      <alignment horizontal="center" vertical="center" wrapText="1"/>
    </xf>
    <xf numFmtId="0" fontId="1" fillId="0" borderId="25" xfId="0" applyFont="1" applyBorder="1" applyAlignment="1">
      <alignment horizontal="center" vertical="center" wrapText="1"/>
    </xf>
    <xf numFmtId="0" fontId="1" fillId="0" borderId="23" xfId="0" applyFont="1" applyBorder="1" applyAlignment="1">
      <alignment horizontal="center" vertical="center" wrapText="1"/>
    </xf>
    <xf numFmtId="0" fontId="1" fillId="0" borderId="24" xfId="0" applyFont="1" applyBorder="1" applyAlignment="1">
      <alignment horizontal="center" vertical="center" wrapText="1"/>
    </xf>
    <xf numFmtId="0" fontId="1" fillId="0" borderId="25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1" fillId="0" borderId="24" xfId="0" applyFont="1" applyBorder="1" applyAlignment="1">
      <alignment horizontal="center" vertical="center"/>
    </xf>
    <xf numFmtId="0" fontId="0" fillId="0" borderId="25" xfId="0" applyBorder="1" applyAlignment="1">
      <alignment horizontal="center" vertical="center" wrapText="1"/>
    </xf>
    <xf numFmtId="0" fontId="0" fillId="0" borderId="23" xfId="0" applyBorder="1" applyAlignment="1">
      <alignment horizontal="center" vertical="center" wrapText="1"/>
    </xf>
    <xf numFmtId="0" fontId="0" fillId="0" borderId="24" xfId="0" applyBorder="1" applyAlignment="1">
      <alignment horizontal="center" vertical="center" wrapText="1"/>
    </xf>
    <xf numFmtId="0" fontId="0" fillId="0" borderId="25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4" fillId="0" borderId="26" xfId="0" applyFont="1" applyBorder="1"/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2" fontId="0" fillId="0" borderId="30" xfId="0" applyNumberFormat="1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</cellXfs>
  <cellStyles count="1">
    <cellStyle name="Normal" xfId="0" builtinId="0"/>
  </cellStyles>
  <dxfs count="6">
    <dxf>
      <fill>
        <patternFill patternType="solid">
          <fgColor rgb="FFB7E1CD"/>
          <bgColor rgb="FFB7E1CD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B7E1CD"/>
          <bgColor rgb="FFB7E1CD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outlinePr summaryBelow="0" summaryRight="0"/>
  </sheetPr>
  <dimension ref="A1:L1098"/>
  <sheetViews>
    <sheetView topLeftCell="B1" zoomScale="87" zoomScaleNormal="100" workbookViewId="0">
      <selection activeCell="B1" sqref="A1:XFD1"/>
    </sheetView>
  </sheetViews>
  <sheetFormatPr defaultColWidth="14.44140625" defaultRowHeight="15" customHeight="1" x14ac:dyDescent="0.25"/>
  <cols>
    <col min="1" max="1" width="14.44140625" hidden="1" customWidth="1"/>
    <col min="2" max="6" width="14.44140625" customWidth="1"/>
  </cols>
  <sheetData>
    <row r="1" spans="1:12" ht="15.75" customHeight="1" thickTop="1" x14ac:dyDescent="0.3">
      <c r="A1" s="1"/>
      <c r="B1" s="2" t="s">
        <v>0</v>
      </c>
      <c r="C1" s="3" t="s">
        <v>1</v>
      </c>
      <c r="D1" s="3" t="s">
        <v>2</v>
      </c>
      <c r="E1" s="3" t="s">
        <v>3</v>
      </c>
      <c r="F1" s="3" t="s">
        <v>4</v>
      </c>
      <c r="G1" s="4" t="s">
        <v>5</v>
      </c>
      <c r="J1" t="b">
        <f>Desligar()</f>
        <v>1</v>
      </c>
    </row>
    <row r="2" spans="1:12" ht="15" customHeight="1" thickBot="1" x14ac:dyDescent="0.35">
      <c r="A2" s="1"/>
      <c r="B2" s="33" t="s">
        <v>6</v>
      </c>
      <c r="C2" s="34"/>
      <c r="D2" s="34"/>
      <c r="E2" s="34"/>
      <c r="F2" s="34"/>
      <c r="G2" s="35"/>
      <c r="J2" t="b">
        <f ca="1">EstaLigado()</f>
        <v>0</v>
      </c>
    </row>
    <row r="3" spans="1:12" ht="4.5" customHeight="1" thickTop="1" x14ac:dyDescent="0.25">
      <c r="A3" s="20" t="s">
        <v>7</v>
      </c>
      <c r="B3" s="27" t="s">
        <v>8</v>
      </c>
      <c r="C3" s="7"/>
      <c r="D3" s="5"/>
      <c r="E3" s="5"/>
      <c r="F3" s="5"/>
      <c r="G3" s="6"/>
      <c r="H3" s="31" t="s">
        <v>9</v>
      </c>
      <c r="I3" s="32"/>
      <c r="J3" s="32"/>
      <c r="K3" s="32"/>
      <c r="L3" s="32"/>
    </row>
    <row r="4" spans="1:12" ht="4.5" customHeight="1" x14ac:dyDescent="0.25">
      <c r="A4" s="21"/>
      <c r="B4" s="24"/>
      <c r="C4" s="7"/>
      <c r="D4" s="7"/>
      <c r="E4" s="7"/>
      <c r="F4" s="7"/>
      <c r="G4" s="8"/>
      <c r="H4" s="32"/>
      <c r="I4" s="32"/>
      <c r="J4" s="32"/>
      <c r="K4" s="32"/>
      <c r="L4" s="32"/>
    </row>
    <row r="5" spans="1:12" ht="4.5" customHeight="1" x14ac:dyDescent="0.25">
      <c r="A5" s="21"/>
      <c r="B5" s="24"/>
      <c r="C5" s="7"/>
      <c r="D5" s="7"/>
      <c r="E5" s="7"/>
      <c r="F5" s="7"/>
      <c r="G5" s="8"/>
      <c r="H5" s="32"/>
      <c r="I5" s="32"/>
      <c r="J5" s="32"/>
      <c r="K5" s="32"/>
      <c r="L5" s="32"/>
    </row>
    <row r="6" spans="1:12" ht="4.5" customHeight="1" x14ac:dyDescent="0.25">
      <c r="A6" s="21"/>
      <c r="B6" s="24"/>
      <c r="C6" s="7"/>
      <c r="D6" s="7"/>
      <c r="E6" s="7"/>
      <c r="F6" s="7"/>
      <c r="G6" s="8"/>
      <c r="H6" s="32"/>
      <c r="I6" s="32"/>
      <c r="J6" s="32"/>
      <c r="K6" s="32"/>
      <c r="L6" s="32"/>
    </row>
    <row r="7" spans="1:12" ht="4.5" customHeight="1" x14ac:dyDescent="0.25">
      <c r="A7" s="21"/>
      <c r="B7" s="24"/>
      <c r="C7" s="7"/>
      <c r="D7" s="7"/>
      <c r="E7" s="7"/>
      <c r="F7" s="7"/>
      <c r="G7" s="8"/>
      <c r="H7" s="32"/>
      <c r="I7" s="32"/>
      <c r="J7" s="32"/>
      <c r="K7" s="32"/>
      <c r="L7" s="32"/>
    </row>
    <row r="8" spans="1:12" ht="4.5" customHeight="1" x14ac:dyDescent="0.25">
      <c r="A8" s="21"/>
      <c r="B8" s="24"/>
      <c r="C8" s="7"/>
      <c r="D8" s="7"/>
      <c r="E8" s="7"/>
      <c r="F8" s="7"/>
      <c r="G8" s="8"/>
      <c r="H8" s="32"/>
      <c r="I8" s="32"/>
      <c r="J8" s="32"/>
      <c r="K8" s="32"/>
      <c r="L8" s="32"/>
    </row>
    <row r="9" spans="1:12" ht="4.5" customHeight="1" x14ac:dyDescent="0.25">
      <c r="A9" s="21"/>
      <c r="B9" s="24"/>
      <c r="C9" s="7"/>
      <c r="D9" s="7"/>
      <c r="E9" s="7"/>
      <c r="F9" s="7"/>
      <c r="G9" s="8"/>
      <c r="H9" s="32"/>
      <c r="I9" s="32"/>
      <c r="J9" s="32"/>
      <c r="K9" s="32"/>
      <c r="L9" s="32"/>
    </row>
    <row r="10" spans="1:12" ht="4.5" customHeight="1" x14ac:dyDescent="0.25">
      <c r="A10" s="21"/>
      <c r="B10" s="24"/>
      <c r="C10" s="7"/>
      <c r="D10" s="7"/>
      <c r="E10" s="7"/>
      <c r="F10" s="7"/>
      <c r="G10" s="8"/>
      <c r="H10" s="32"/>
      <c r="I10" s="32"/>
      <c r="J10" s="32"/>
      <c r="K10" s="32"/>
      <c r="L10" s="32"/>
    </row>
    <row r="11" spans="1:12" ht="4.5" customHeight="1" x14ac:dyDescent="0.25">
      <c r="A11" s="21"/>
      <c r="B11" s="24"/>
      <c r="C11" s="7"/>
      <c r="D11" s="7"/>
      <c r="E11" s="7"/>
      <c r="F11" s="7"/>
      <c r="G11" s="8"/>
      <c r="H11" s="32"/>
      <c r="I11" s="32"/>
      <c r="J11" s="32"/>
      <c r="K11" s="32"/>
      <c r="L11" s="32"/>
    </row>
    <row r="12" spans="1:12" ht="4.5" customHeight="1" x14ac:dyDescent="0.25">
      <c r="A12" s="21"/>
      <c r="B12" s="24"/>
      <c r="C12" s="7"/>
      <c r="D12" s="7"/>
      <c r="E12" s="7"/>
      <c r="F12" s="7"/>
      <c r="G12" s="8"/>
      <c r="H12" s="32"/>
      <c r="I12" s="32"/>
      <c r="J12" s="32"/>
      <c r="K12" s="32"/>
      <c r="L12" s="32"/>
    </row>
    <row r="13" spans="1:12" ht="4.5" customHeight="1" x14ac:dyDescent="0.25">
      <c r="A13" s="21"/>
      <c r="B13" s="24"/>
      <c r="C13" s="7"/>
      <c r="D13" s="7"/>
      <c r="E13" s="7"/>
      <c r="F13" s="7"/>
      <c r="G13" s="8"/>
      <c r="H13" s="32"/>
      <c r="I13" s="32"/>
      <c r="J13" s="32"/>
      <c r="K13" s="32"/>
      <c r="L13" s="32"/>
    </row>
    <row r="14" spans="1:12" ht="4.5" customHeight="1" x14ac:dyDescent="0.25">
      <c r="A14" s="21"/>
      <c r="B14" s="26"/>
      <c r="C14" s="7"/>
      <c r="D14" s="7"/>
      <c r="E14" s="7"/>
      <c r="F14" s="7"/>
      <c r="G14" s="8"/>
      <c r="H14" s="32"/>
      <c r="I14" s="32"/>
      <c r="J14" s="32"/>
      <c r="K14" s="32"/>
      <c r="L14" s="32"/>
    </row>
    <row r="15" spans="1:12" ht="4.5" customHeight="1" x14ac:dyDescent="0.25">
      <c r="A15" s="21"/>
      <c r="B15" s="23" t="s">
        <v>10</v>
      </c>
      <c r="C15" s="7"/>
      <c r="D15" s="7"/>
      <c r="E15" s="7"/>
      <c r="F15" s="7"/>
      <c r="G15" s="8"/>
      <c r="H15" s="32"/>
      <c r="I15" s="32"/>
      <c r="J15" s="32"/>
      <c r="K15" s="32"/>
      <c r="L15" s="32"/>
    </row>
    <row r="16" spans="1:12" ht="4.5" customHeight="1" x14ac:dyDescent="0.25">
      <c r="A16" s="21"/>
      <c r="B16" s="24"/>
      <c r="C16" s="7"/>
      <c r="D16" s="7"/>
      <c r="E16" s="7"/>
      <c r="F16" s="7"/>
      <c r="G16" s="8"/>
      <c r="H16" s="32"/>
      <c r="I16" s="32"/>
      <c r="J16" s="32"/>
      <c r="K16" s="32"/>
      <c r="L16" s="32"/>
    </row>
    <row r="17" spans="1:12" ht="4.5" customHeight="1" x14ac:dyDescent="0.25">
      <c r="A17" s="21"/>
      <c r="B17" s="24"/>
      <c r="C17" s="7"/>
      <c r="D17" s="7"/>
      <c r="E17" s="7"/>
      <c r="F17" s="7"/>
      <c r="G17" s="8"/>
      <c r="H17" s="32"/>
      <c r="I17" s="32"/>
      <c r="J17" s="32"/>
      <c r="K17" s="32"/>
      <c r="L17" s="32"/>
    </row>
    <row r="18" spans="1:12" ht="4.5" customHeight="1" x14ac:dyDescent="0.25">
      <c r="A18" s="21"/>
      <c r="B18" s="24"/>
      <c r="C18" s="7"/>
      <c r="D18" s="7"/>
      <c r="E18" s="7"/>
      <c r="F18" s="7"/>
      <c r="G18" s="8"/>
      <c r="H18" s="32"/>
      <c r="I18" s="32"/>
      <c r="J18" s="32"/>
      <c r="K18" s="32"/>
      <c r="L18" s="32"/>
    </row>
    <row r="19" spans="1:12" ht="4.5" customHeight="1" x14ac:dyDescent="0.25">
      <c r="A19" s="21"/>
      <c r="B19" s="24"/>
      <c r="C19" s="7"/>
      <c r="D19" s="7"/>
      <c r="E19" s="7"/>
      <c r="F19" s="7"/>
      <c r="G19" s="8"/>
      <c r="H19" s="32"/>
      <c r="I19" s="32"/>
      <c r="J19" s="32"/>
      <c r="K19" s="32"/>
      <c r="L19" s="32"/>
    </row>
    <row r="20" spans="1:12" ht="4.5" customHeight="1" x14ac:dyDescent="0.25">
      <c r="A20" s="21"/>
      <c r="B20" s="24"/>
      <c r="C20" s="7"/>
      <c r="D20" s="7"/>
      <c r="E20" s="7"/>
      <c r="F20" s="7"/>
      <c r="G20" s="8"/>
      <c r="H20" s="32"/>
      <c r="I20" s="32"/>
      <c r="J20" s="32"/>
      <c r="K20" s="32"/>
      <c r="L20" s="32"/>
    </row>
    <row r="21" spans="1:12" ht="4.5" customHeight="1" x14ac:dyDescent="0.25">
      <c r="A21" s="21"/>
      <c r="B21" s="24"/>
      <c r="C21" s="7"/>
      <c r="D21" s="7"/>
      <c r="E21" s="7"/>
      <c r="F21" s="7"/>
      <c r="G21" s="8"/>
      <c r="H21" s="32"/>
      <c r="I21" s="32"/>
      <c r="J21" s="32"/>
      <c r="K21" s="32"/>
      <c r="L21" s="32"/>
    </row>
    <row r="22" spans="1:12" ht="4.5" customHeight="1" x14ac:dyDescent="0.25">
      <c r="A22" s="21"/>
      <c r="B22" s="24"/>
      <c r="C22" s="7"/>
      <c r="D22" s="7"/>
      <c r="E22" s="7"/>
      <c r="F22" s="7"/>
      <c r="G22" s="8"/>
      <c r="H22" s="32"/>
      <c r="I22" s="32"/>
      <c r="J22" s="32"/>
      <c r="K22" s="32"/>
      <c r="L22" s="32"/>
    </row>
    <row r="23" spans="1:12" ht="4.5" customHeight="1" x14ac:dyDescent="0.25">
      <c r="A23" s="21"/>
      <c r="B23" s="24"/>
      <c r="C23" s="7"/>
      <c r="D23" s="7"/>
      <c r="E23" s="7"/>
      <c r="F23" s="7"/>
      <c r="G23" s="8"/>
      <c r="H23" s="32"/>
      <c r="I23" s="32"/>
      <c r="J23" s="32"/>
      <c r="K23" s="32"/>
      <c r="L23" s="32"/>
    </row>
    <row r="24" spans="1:12" ht="4.5" customHeight="1" x14ac:dyDescent="0.25">
      <c r="A24" s="21"/>
      <c r="B24" s="24"/>
      <c r="C24" s="7"/>
      <c r="D24" s="7"/>
      <c r="E24" s="7"/>
      <c r="F24" s="7"/>
      <c r="G24" s="8"/>
      <c r="H24" s="32"/>
      <c r="I24" s="32"/>
      <c r="J24" s="32"/>
      <c r="K24" s="32"/>
      <c r="L24" s="32"/>
    </row>
    <row r="25" spans="1:12" ht="4.5" customHeight="1" x14ac:dyDescent="0.25">
      <c r="A25" s="21"/>
      <c r="B25" s="24"/>
      <c r="C25" s="7"/>
      <c r="D25" s="7"/>
      <c r="E25" s="7"/>
      <c r="F25" s="7"/>
      <c r="G25" s="8"/>
      <c r="H25" s="32"/>
      <c r="I25" s="32"/>
      <c r="J25" s="32"/>
      <c r="K25" s="32"/>
      <c r="L25" s="32"/>
    </row>
    <row r="26" spans="1:12" ht="4.5" customHeight="1" x14ac:dyDescent="0.25">
      <c r="A26" s="21"/>
      <c r="B26" s="26"/>
      <c r="C26" s="7"/>
      <c r="D26" s="7"/>
      <c r="E26" s="7"/>
      <c r="F26" s="7"/>
      <c r="G26" s="8"/>
      <c r="H26" s="32"/>
      <c r="I26" s="32"/>
      <c r="J26" s="32"/>
      <c r="K26" s="32"/>
      <c r="L26" s="32"/>
    </row>
    <row r="27" spans="1:12" ht="4.5" customHeight="1" x14ac:dyDescent="0.25">
      <c r="A27" s="21"/>
      <c r="B27" s="23" t="s">
        <v>11</v>
      </c>
      <c r="C27" s="7"/>
      <c r="D27" s="7"/>
      <c r="E27" s="7"/>
      <c r="F27" s="7"/>
      <c r="G27" s="8"/>
      <c r="H27" s="32"/>
      <c r="I27" s="32"/>
      <c r="J27" s="32"/>
      <c r="K27" s="32"/>
      <c r="L27" s="32"/>
    </row>
    <row r="28" spans="1:12" ht="4.5" customHeight="1" x14ac:dyDescent="0.25">
      <c r="A28" s="21"/>
      <c r="B28" s="24"/>
      <c r="C28" s="7"/>
      <c r="D28" s="7"/>
      <c r="E28" s="7"/>
      <c r="F28" s="7"/>
      <c r="G28" s="8"/>
      <c r="H28" s="32"/>
      <c r="I28" s="32"/>
      <c r="J28" s="32"/>
      <c r="K28" s="32"/>
      <c r="L28" s="32"/>
    </row>
    <row r="29" spans="1:12" ht="4.5" customHeight="1" x14ac:dyDescent="0.25">
      <c r="A29" s="21"/>
      <c r="B29" s="24"/>
      <c r="C29" s="7"/>
      <c r="D29" s="7"/>
      <c r="E29" s="7"/>
      <c r="F29" s="7"/>
      <c r="G29" s="8"/>
      <c r="H29" s="32"/>
      <c r="I29" s="32"/>
      <c r="J29" s="32"/>
      <c r="K29" s="32"/>
      <c r="L29" s="32"/>
    </row>
    <row r="30" spans="1:12" ht="4.5" customHeight="1" x14ac:dyDescent="0.25">
      <c r="A30" s="21"/>
      <c r="B30" s="24"/>
      <c r="C30" s="7"/>
      <c r="D30" s="7"/>
      <c r="E30" s="9"/>
      <c r="F30" s="9"/>
      <c r="G30" s="10"/>
      <c r="H30" s="32"/>
      <c r="I30" s="32"/>
      <c r="J30" s="32"/>
      <c r="K30" s="32"/>
      <c r="L30" s="32"/>
    </row>
    <row r="31" spans="1:12" ht="4.5" customHeight="1" x14ac:dyDescent="0.25">
      <c r="A31" s="21"/>
      <c r="B31" s="24"/>
      <c r="C31" s="7"/>
      <c r="D31" s="7"/>
      <c r="E31" s="11"/>
      <c r="F31" s="11"/>
      <c r="G31" s="12"/>
      <c r="H31" s="32"/>
      <c r="I31" s="32"/>
      <c r="J31" s="32"/>
      <c r="K31" s="32"/>
      <c r="L31" s="32"/>
    </row>
    <row r="32" spans="1:12" ht="4.5" customHeight="1" x14ac:dyDescent="0.25">
      <c r="A32" s="21"/>
      <c r="B32" s="24"/>
      <c r="C32" s="7"/>
      <c r="D32" s="7"/>
      <c r="E32" s="11"/>
      <c r="F32" s="11"/>
      <c r="G32" s="12"/>
      <c r="H32" s="32"/>
      <c r="I32" s="32"/>
      <c r="J32" s="32"/>
      <c r="K32" s="32"/>
      <c r="L32" s="32"/>
    </row>
    <row r="33" spans="1:12" ht="4.5" customHeight="1" x14ac:dyDescent="0.25">
      <c r="A33" s="21"/>
      <c r="B33" s="24"/>
      <c r="C33" s="11"/>
      <c r="D33" s="7"/>
      <c r="E33" s="11"/>
      <c r="F33" s="11"/>
      <c r="G33" s="12"/>
      <c r="H33" s="32"/>
      <c r="I33" s="32"/>
      <c r="J33" s="32"/>
      <c r="K33" s="32"/>
      <c r="L33" s="32"/>
    </row>
    <row r="34" spans="1:12" ht="4.5" customHeight="1" x14ac:dyDescent="0.25">
      <c r="A34" s="21"/>
      <c r="B34" s="24"/>
      <c r="C34" s="11"/>
      <c r="D34" s="11"/>
      <c r="E34" s="11"/>
      <c r="F34" s="11"/>
      <c r="G34" s="12"/>
      <c r="H34" s="32"/>
      <c r="I34" s="32"/>
      <c r="J34" s="32"/>
      <c r="K34" s="32"/>
      <c r="L34" s="32"/>
    </row>
    <row r="35" spans="1:12" ht="4.5" customHeight="1" x14ac:dyDescent="0.25">
      <c r="A35" s="21"/>
      <c r="B35" s="24"/>
      <c r="C35" s="11"/>
      <c r="D35" s="11"/>
      <c r="E35" s="11"/>
      <c r="F35" s="11"/>
      <c r="G35" s="12"/>
      <c r="H35" s="32"/>
      <c r="I35" s="32"/>
      <c r="J35" s="32"/>
      <c r="K35" s="32"/>
      <c r="L35" s="32"/>
    </row>
    <row r="36" spans="1:12" ht="4.5" customHeight="1" x14ac:dyDescent="0.25">
      <c r="A36" s="21"/>
      <c r="B36" s="24"/>
      <c r="C36" s="11"/>
      <c r="D36" s="11"/>
      <c r="E36" s="11"/>
      <c r="F36" s="11"/>
      <c r="G36" s="12"/>
      <c r="H36" s="32"/>
      <c r="I36" s="32"/>
      <c r="J36" s="32"/>
      <c r="K36" s="32"/>
      <c r="L36" s="32"/>
    </row>
    <row r="37" spans="1:12" ht="4.5" customHeight="1" x14ac:dyDescent="0.25">
      <c r="A37" s="21"/>
      <c r="B37" s="24"/>
      <c r="C37" s="11"/>
      <c r="D37" s="11"/>
      <c r="E37" s="11"/>
      <c r="F37" s="11"/>
      <c r="G37" s="12"/>
      <c r="H37" s="32"/>
      <c r="I37" s="32"/>
      <c r="J37" s="32"/>
      <c r="K37" s="32"/>
      <c r="L37" s="32"/>
    </row>
    <row r="38" spans="1:12" ht="4.5" customHeight="1" x14ac:dyDescent="0.25">
      <c r="A38" s="21"/>
      <c r="B38" s="26"/>
      <c r="C38" s="11"/>
      <c r="D38" s="11"/>
      <c r="E38" s="11"/>
      <c r="F38" s="11"/>
      <c r="G38" s="12"/>
      <c r="H38" s="32"/>
      <c r="I38" s="32"/>
      <c r="J38" s="32"/>
      <c r="K38" s="32"/>
      <c r="L38" s="32"/>
    </row>
    <row r="39" spans="1:12" ht="4.5" customHeight="1" x14ac:dyDescent="0.25">
      <c r="A39" s="21"/>
      <c r="B39" s="23" t="s">
        <v>12</v>
      </c>
      <c r="C39" s="11"/>
      <c r="D39" s="11"/>
      <c r="E39" s="11"/>
      <c r="F39" s="11"/>
      <c r="G39" s="12"/>
      <c r="H39" s="32"/>
      <c r="I39" s="32"/>
      <c r="J39" s="32"/>
      <c r="K39" s="32"/>
      <c r="L39" s="32"/>
    </row>
    <row r="40" spans="1:12" ht="4.5" customHeight="1" x14ac:dyDescent="0.25">
      <c r="A40" s="21"/>
      <c r="B40" s="24"/>
      <c r="C40" s="11"/>
      <c r="D40" s="11"/>
      <c r="E40" s="11"/>
      <c r="F40" s="11"/>
      <c r="G40" s="12"/>
      <c r="H40" s="32"/>
      <c r="I40" s="32"/>
      <c r="J40" s="32"/>
      <c r="K40" s="32"/>
      <c r="L40" s="32"/>
    </row>
    <row r="41" spans="1:12" ht="4.5" customHeight="1" x14ac:dyDescent="0.25">
      <c r="A41" s="21"/>
      <c r="B41" s="24"/>
      <c r="C41" s="11"/>
      <c r="D41" s="11"/>
      <c r="E41" s="11"/>
      <c r="F41" s="11"/>
      <c r="G41" s="12"/>
      <c r="H41" s="32"/>
      <c r="I41" s="32"/>
      <c r="J41" s="32"/>
      <c r="K41" s="32"/>
      <c r="L41" s="32"/>
    </row>
    <row r="42" spans="1:12" ht="4.5" customHeight="1" x14ac:dyDescent="0.25">
      <c r="A42" s="21"/>
      <c r="B42" s="24"/>
      <c r="C42" s="11"/>
      <c r="D42" s="11"/>
      <c r="E42" s="11"/>
      <c r="F42" s="11"/>
      <c r="G42" s="12"/>
      <c r="H42" s="32"/>
      <c r="I42" s="32"/>
      <c r="J42" s="32"/>
      <c r="K42" s="32"/>
      <c r="L42" s="32"/>
    </row>
    <row r="43" spans="1:12" ht="4.5" customHeight="1" x14ac:dyDescent="0.25">
      <c r="A43" s="21"/>
      <c r="B43" s="24"/>
      <c r="C43" s="11"/>
      <c r="D43" s="11"/>
      <c r="E43" s="11"/>
      <c r="F43" s="11"/>
      <c r="G43" s="12"/>
      <c r="H43" s="32"/>
      <c r="I43" s="32"/>
      <c r="J43" s="32"/>
      <c r="K43" s="32"/>
      <c r="L43" s="32"/>
    </row>
    <row r="44" spans="1:12" ht="4.5" customHeight="1" x14ac:dyDescent="0.25">
      <c r="A44" s="21"/>
      <c r="B44" s="24"/>
      <c r="C44" s="11"/>
      <c r="D44" s="11"/>
      <c r="E44" s="11"/>
      <c r="F44" s="11"/>
      <c r="G44" s="12"/>
      <c r="H44" s="32"/>
      <c r="I44" s="32"/>
      <c r="J44" s="32"/>
      <c r="K44" s="32"/>
      <c r="L44" s="32"/>
    </row>
    <row r="45" spans="1:12" ht="4.5" customHeight="1" x14ac:dyDescent="0.25">
      <c r="A45" s="21"/>
      <c r="B45" s="24"/>
      <c r="C45" s="11"/>
      <c r="D45" s="11"/>
      <c r="E45" s="11"/>
      <c r="F45" s="11"/>
      <c r="G45" s="12"/>
      <c r="H45" s="32"/>
      <c r="I45" s="32"/>
      <c r="J45" s="32"/>
      <c r="K45" s="32"/>
      <c r="L45" s="32"/>
    </row>
    <row r="46" spans="1:12" ht="4.5" customHeight="1" x14ac:dyDescent="0.25">
      <c r="A46" s="21"/>
      <c r="B46" s="24"/>
      <c r="C46" s="11"/>
      <c r="D46" s="11"/>
      <c r="E46" s="11"/>
      <c r="F46" s="11"/>
      <c r="G46" s="12"/>
      <c r="H46" s="32"/>
      <c r="I46" s="32"/>
      <c r="J46" s="32"/>
      <c r="K46" s="32"/>
      <c r="L46" s="32"/>
    </row>
    <row r="47" spans="1:12" ht="4.5" customHeight="1" x14ac:dyDescent="0.25">
      <c r="A47" s="21"/>
      <c r="B47" s="24"/>
      <c r="C47" s="11"/>
      <c r="D47" s="11"/>
      <c r="E47" s="11"/>
      <c r="F47" s="11"/>
      <c r="G47" s="12"/>
      <c r="H47" s="32"/>
      <c r="I47" s="32"/>
      <c r="J47" s="32"/>
      <c r="K47" s="32"/>
      <c r="L47" s="32"/>
    </row>
    <row r="48" spans="1:12" ht="4.5" customHeight="1" x14ac:dyDescent="0.25">
      <c r="A48" s="21"/>
      <c r="B48" s="24"/>
      <c r="C48" s="11"/>
      <c r="D48" s="11"/>
      <c r="E48" s="11"/>
      <c r="F48" s="11"/>
      <c r="G48" s="12"/>
      <c r="H48" s="32"/>
      <c r="I48" s="32"/>
      <c r="J48" s="32"/>
      <c r="K48" s="32"/>
      <c r="L48" s="32"/>
    </row>
    <row r="49" spans="1:12" ht="4.5" customHeight="1" x14ac:dyDescent="0.25">
      <c r="A49" s="21"/>
      <c r="B49" s="24"/>
      <c r="C49" s="11"/>
      <c r="D49" s="11"/>
      <c r="E49" s="11"/>
      <c r="F49" s="11"/>
      <c r="G49" s="12"/>
      <c r="H49" s="32"/>
      <c r="I49" s="32"/>
      <c r="J49" s="32"/>
      <c r="K49" s="32"/>
      <c r="L49" s="32"/>
    </row>
    <row r="50" spans="1:12" ht="4.5" customHeight="1" x14ac:dyDescent="0.25">
      <c r="A50" s="21"/>
      <c r="B50" s="26"/>
      <c r="C50" s="11"/>
      <c r="D50" s="11"/>
      <c r="E50" s="11"/>
      <c r="F50" s="11"/>
      <c r="G50" s="12"/>
      <c r="H50" s="32"/>
      <c r="I50" s="32"/>
      <c r="J50" s="32"/>
      <c r="K50" s="32"/>
      <c r="L50" s="32"/>
    </row>
    <row r="51" spans="1:12" ht="4.5" customHeight="1" x14ac:dyDescent="0.25">
      <c r="A51" s="21"/>
      <c r="B51" s="23" t="s">
        <v>13</v>
      </c>
      <c r="C51" s="11"/>
      <c r="D51" s="11"/>
      <c r="E51" s="11"/>
      <c r="F51" s="11"/>
      <c r="G51" s="12"/>
      <c r="H51" s="32"/>
      <c r="I51" s="32"/>
      <c r="J51" s="32"/>
      <c r="K51" s="32"/>
      <c r="L51" s="32"/>
    </row>
    <row r="52" spans="1:12" ht="4.5" customHeight="1" x14ac:dyDescent="0.25">
      <c r="A52" s="21"/>
      <c r="B52" s="24"/>
      <c r="C52" s="11"/>
      <c r="D52" s="11"/>
      <c r="E52" s="11"/>
      <c r="F52" s="11"/>
      <c r="G52" s="12"/>
      <c r="H52" s="32"/>
      <c r="I52" s="32"/>
      <c r="J52" s="32"/>
      <c r="K52" s="32"/>
      <c r="L52" s="32"/>
    </row>
    <row r="53" spans="1:12" ht="4.5" customHeight="1" x14ac:dyDescent="0.25">
      <c r="A53" s="21"/>
      <c r="B53" s="24"/>
      <c r="C53" s="11"/>
      <c r="D53" s="11"/>
      <c r="E53" s="11"/>
      <c r="F53" s="11"/>
      <c r="G53" s="12"/>
      <c r="H53" s="32"/>
      <c r="I53" s="32"/>
      <c r="J53" s="32"/>
      <c r="K53" s="32"/>
      <c r="L53" s="32"/>
    </row>
    <row r="54" spans="1:12" ht="4.5" customHeight="1" x14ac:dyDescent="0.25">
      <c r="A54" s="21"/>
      <c r="B54" s="24"/>
      <c r="C54" s="11"/>
      <c r="D54" s="11"/>
      <c r="E54" s="11"/>
      <c r="F54" s="11"/>
      <c r="G54" s="12"/>
      <c r="H54" s="32"/>
      <c r="I54" s="32"/>
      <c r="J54" s="32"/>
      <c r="K54" s="32"/>
      <c r="L54" s="32"/>
    </row>
    <row r="55" spans="1:12" ht="4.5" customHeight="1" x14ac:dyDescent="0.25">
      <c r="A55" s="21"/>
      <c r="B55" s="24"/>
      <c r="C55" s="11"/>
      <c r="D55" s="11"/>
      <c r="E55" s="11"/>
      <c r="F55" s="11"/>
      <c r="G55" s="12"/>
      <c r="H55" s="32"/>
      <c r="I55" s="32"/>
      <c r="J55" s="32"/>
      <c r="K55" s="32"/>
      <c r="L55" s="32"/>
    </row>
    <row r="56" spans="1:12" ht="4.5" customHeight="1" x14ac:dyDescent="0.25">
      <c r="A56" s="21"/>
      <c r="B56" s="24"/>
      <c r="C56" s="11"/>
      <c r="D56" s="11"/>
      <c r="E56" s="11"/>
      <c r="F56" s="11"/>
      <c r="G56" s="12"/>
      <c r="H56" s="32"/>
      <c r="I56" s="32"/>
      <c r="J56" s="32"/>
      <c r="K56" s="32"/>
      <c r="L56" s="32"/>
    </row>
    <row r="57" spans="1:12" ht="4.5" customHeight="1" x14ac:dyDescent="0.25">
      <c r="A57" s="21"/>
      <c r="B57" s="24"/>
      <c r="C57" s="11"/>
      <c r="D57" s="11"/>
      <c r="E57" s="11"/>
      <c r="F57" s="11"/>
      <c r="G57" s="12"/>
      <c r="H57" s="32"/>
      <c r="I57" s="32"/>
      <c r="J57" s="32"/>
      <c r="K57" s="32"/>
      <c r="L57" s="32"/>
    </row>
    <row r="58" spans="1:12" ht="4.5" customHeight="1" x14ac:dyDescent="0.25">
      <c r="A58" s="21"/>
      <c r="B58" s="24"/>
      <c r="C58" s="11"/>
      <c r="D58" s="11"/>
      <c r="E58" s="11"/>
      <c r="F58" s="11"/>
      <c r="G58" s="12"/>
      <c r="H58" s="32"/>
      <c r="I58" s="32"/>
      <c r="J58" s="32"/>
      <c r="K58" s="32"/>
      <c r="L58" s="32"/>
    </row>
    <row r="59" spans="1:12" ht="4.5" customHeight="1" x14ac:dyDescent="0.25">
      <c r="A59" s="21"/>
      <c r="B59" s="24"/>
      <c r="C59" s="11"/>
      <c r="D59" s="11"/>
      <c r="E59" s="11"/>
      <c r="F59" s="11"/>
      <c r="G59" s="12"/>
    </row>
    <row r="60" spans="1:12" ht="4.5" customHeight="1" x14ac:dyDescent="0.25">
      <c r="A60" s="21"/>
      <c r="B60" s="24"/>
      <c r="C60" s="11"/>
      <c r="D60" s="11"/>
      <c r="E60" s="11"/>
      <c r="F60" s="11"/>
      <c r="G60" s="12"/>
    </row>
    <row r="61" spans="1:12" ht="4.5" customHeight="1" x14ac:dyDescent="0.25">
      <c r="A61" s="21"/>
      <c r="B61" s="24"/>
      <c r="C61" s="11"/>
      <c r="D61" s="11"/>
      <c r="E61" s="11"/>
      <c r="F61" s="11"/>
      <c r="G61" s="12"/>
    </row>
    <row r="62" spans="1:12" ht="4.5" customHeight="1" thickBot="1" x14ac:dyDescent="0.3">
      <c r="A62" s="22"/>
      <c r="B62" s="25"/>
      <c r="C62" s="13"/>
      <c r="D62" s="13"/>
      <c r="E62" s="13"/>
      <c r="F62" s="13"/>
      <c r="G62" s="14"/>
    </row>
    <row r="63" spans="1:12" ht="4.5" customHeight="1" thickTop="1" x14ac:dyDescent="0.25">
      <c r="A63" s="20" t="s">
        <v>14</v>
      </c>
      <c r="B63" s="39" t="s">
        <v>15</v>
      </c>
      <c r="C63" s="5"/>
      <c r="D63" s="5"/>
      <c r="E63" s="5"/>
      <c r="F63" s="5"/>
      <c r="G63" s="6"/>
    </row>
    <row r="64" spans="1:12" ht="4.5" customHeight="1" x14ac:dyDescent="0.25">
      <c r="A64" s="21"/>
      <c r="B64" s="37"/>
      <c r="C64" s="7"/>
      <c r="D64" s="7"/>
      <c r="E64" s="7"/>
      <c r="F64" s="7"/>
      <c r="G64" s="8"/>
    </row>
    <row r="65" spans="1:7" ht="4.5" customHeight="1" x14ac:dyDescent="0.25">
      <c r="A65" s="21"/>
      <c r="B65" s="37"/>
      <c r="C65" s="7"/>
      <c r="D65" s="7"/>
      <c r="E65" s="7"/>
      <c r="F65" s="7"/>
      <c r="G65" s="8"/>
    </row>
    <row r="66" spans="1:7" ht="4.5" customHeight="1" x14ac:dyDescent="0.25">
      <c r="A66" s="21"/>
      <c r="B66" s="37"/>
      <c r="C66" s="7"/>
      <c r="D66" s="7"/>
      <c r="E66" s="7"/>
      <c r="F66" s="7"/>
      <c r="G66" s="8"/>
    </row>
    <row r="67" spans="1:7" ht="4.5" customHeight="1" x14ac:dyDescent="0.25">
      <c r="A67" s="21"/>
      <c r="B67" s="37"/>
      <c r="C67" s="7"/>
      <c r="D67" s="7"/>
      <c r="E67" s="7"/>
      <c r="F67" s="7"/>
      <c r="G67" s="8"/>
    </row>
    <row r="68" spans="1:7" ht="4.5" customHeight="1" x14ac:dyDescent="0.25">
      <c r="A68" s="21"/>
      <c r="B68" s="37"/>
      <c r="C68" s="7"/>
      <c r="D68" s="7"/>
      <c r="E68" s="7"/>
      <c r="F68" s="7"/>
      <c r="G68" s="8"/>
    </row>
    <row r="69" spans="1:7" ht="4.5" customHeight="1" x14ac:dyDescent="0.25">
      <c r="A69" s="21"/>
      <c r="B69" s="37"/>
      <c r="C69" s="7"/>
      <c r="D69" s="7"/>
      <c r="E69" s="7"/>
      <c r="F69" s="7"/>
      <c r="G69" s="8"/>
    </row>
    <row r="70" spans="1:7" ht="4.5" customHeight="1" x14ac:dyDescent="0.25">
      <c r="A70" s="21"/>
      <c r="B70" s="37"/>
      <c r="C70" s="7"/>
      <c r="D70" s="7"/>
      <c r="E70" s="7"/>
      <c r="F70" s="7"/>
      <c r="G70" s="8"/>
    </row>
    <row r="71" spans="1:7" ht="4.5" customHeight="1" x14ac:dyDescent="0.25">
      <c r="A71" s="21"/>
      <c r="B71" s="37"/>
      <c r="C71" s="7"/>
      <c r="D71" s="7"/>
      <c r="E71" s="7"/>
      <c r="F71" s="7"/>
      <c r="G71" s="8"/>
    </row>
    <row r="72" spans="1:7" ht="4.5" customHeight="1" x14ac:dyDescent="0.25">
      <c r="A72" s="21"/>
      <c r="B72" s="37"/>
      <c r="C72" s="7"/>
      <c r="D72" s="7"/>
      <c r="E72" s="7"/>
      <c r="F72" s="7"/>
      <c r="G72" s="8"/>
    </row>
    <row r="73" spans="1:7" ht="4.5" customHeight="1" x14ac:dyDescent="0.25">
      <c r="A73" s="21"/>
      <c r="B73" s="37"/>
      <c r="C73" s="7"/>
      <c r="D73" s="7"/>
      <c r="E73" s="7"/>
      <c r="F73" s="7"/>
      <c r="G73" s="8"/>
    </row>
    <row r="74" spans="1:7" ht="4.5" customHeight="1" x14ac:dyDescent="0.25">
      <c r="A74" s="21"/>
      <c r="B74" s="38"/>
      <c r="C74" s="7"/>
      <c r="D74" s="7"/>
      <c r="E74" s="7"/>
      <c r="F74" s="7"/>
      <c r="G74" s="8"/>
    </row>
    <row r="75" spans="1:7" ht="4.5" customHeight="1" x14ac:dyDescent="0.25">
      <c r="A75" s="21"/>
      <c r="B75" s="36" t="s">
        <v>16</v>
      </c>
      <c r="C75" s="46" t="s">
        <v>51</v>
      </c>
      <c r="D75" s="43" t="s">
        <v>49</v>
      </c>
      <c r="E75" s="43" t="s">
        <v>52</v>
      </c>
      <c r="F75" s="46" t="s">
        <v>47</v>
      </c>
      <c r="G75" s="40" t="s">
        <v>54</v>
      </c>
    </row>
    <row r="76" spans="1:7" ht="4.5" customHeight="1" x14ac:dyDescent="0.25">
      <c r="A76" s="21"/>
      <c r="B76" s="37"/>
      <c r="C76" s="47"/>
      <c r="D76" s="44"/>
      <c r="E76" s="44"/>
      <c r="F76" s="47"/>
      <c r="G76" s="41"/>
    </row>
    <row r="77" spans="1:7" ht="4.5" customHeight="1" x14ac:dyDescent="0.25">
      <c r="A77" s="21"/>
      <c r="B77" s="37"/>
      <c r="C77" s="47"/>
      <c r="D77" s="44"/>
      <c r="E77" s="44"/>
      <c r="F77" s="47"/>
      <c r="G77" s="41"/>
    </row>
    <row r="78" spans="1:7" ht="4.5" customHeight="1" x14ac:dyDescent="0.25">
      <c r="A78" s="21"/>
      <c r="B78" s="37"/>
      <c r="C78" s="47"/>
      <c r="D78" s="44"/>
      <c r="E78" s="44"/>
      <c r="F78" s="47"/>
      <c r="G78" s="41"/>
    </row>
    <row r="79" spans="1:7" ht="4.5" customHeight="1" x14ac:dyDescent="0.25">
      <c r="A79" s="21"/>
      <c r="B79" s="37"/>
      <c r="C79" s="47"/>
      <c r="D79" s="44"/>
      <c r="E79" s="44"/>
      <c r="F79" s="47"/>
      <c r="G79" s="41"/>
    </row>
    <row r="80" spans="1:7" ht="4.5" customHeight="1" x14ac:dyDescent="0.25">
      <c r="A80" s="21"/>
      <c r="B80" s="37"/>
      <c r="C80" s="47"/>
      <c r="D80" s="44"/>
      <c r="E80" s="44"/>
      <c r="F80" s="47"/>
      <c r="G80" s="41"/>
    </row>
    <row r="81" spans="1:7" ht="4.5" customHeight="1" x14ac:dyDescent="0.25">
      <c r="A81" s="21"/>
      <c r="B81" s="37"/>
      <c r="C81" s="47"/>
      <c r="D81" s="44"/>
      <c r="E81" s="44"/>
      <c r="F81" s="47"/>
      <c r="G81" s="41"/>
    </row>
    <row r="82" spans="1:7" ht="4.5" customHeight="1" x14ac:dyDescent="0.25">
      <c r="A82" s="21"/>
      <c r="B82" s="37"/>
      <c r="C82" s="47"/>
      <c r="D82" s="44"/>
      <c r="E82" s="44"/>
      <c r="F82" s="47"/>
      <c r="G82" s="41"/>
    </row>
    <row r="83" spans="1:7" ht="4.5" customHeight="1" x14ac:dyDescent="0.25">
      <c r="A83" s="21"/>
      <c r="B83" s="37"/>
      <c r="C83" s="47"/>
      <c r="D83" s="44"/>
      <c r="E83" s="44"/>
      <c r="F83" s="47"/>
      <c r="G83" s="41"/>
    </row>
    <row r="84" spans="1:7" ht="4.5" customHeight="1" x14ac:dyDescent="0.25">
      <c r="A84" s="21"/>
      <c r="B84" s="37"/>
      <c r="C84" s="48"/>
      <c r="D84" s="44"/>
      <c r="E84" s="44"/>
      <c r="F84" s="47"/>
      <c r="G84" s="41"/>
    </row>
    <row r="85" spans="1:7" ht="4.5" customHeight="1" x14ac:dyDescent="0.25">
      <c r="A85" s="21"/>
      <c r="B85" s="37"/>
      <c r="C85" s="28" t="s">
        <v>27</v>
      </c>
      <c r="D85" s="44"/>
      <c r="E85" s="44"/>
      <c r="F85" s="47"/>
      <c r="G85" s="41"/>
    </row>
    <row r="86" spans="1:7" ht="4.5" customHeight="1" x14ac:dyDescent="0.25">
      <c r="A86" s="21"/>
      <c r="B86" s="38"/>
      <c r="C86" s="29"/>
      <c r="D86" s="45"/>
      <c r="E86" s="44"/>
      <c r="F86" s="48"/>
      <c r="G86" s="41"/>
    </row>
    <row r="87" spans="1:7" ht="4.5" customHeight="1" x14ac:dyDescent="0.25">
      <c r="A87" s="21"/>
      <c r="B87" s="36" t="s">
        <v>17</v>
      </c>
      <c r="C87" s="29"/>
      <c r="D87" s="43" t="s">
        <v>46</v>
      </c>
      <c r="E87" s="44"/>
      <c r="F87" s="11"/>
      <c r="G87" s="41"/>
    </row>
    <row r="88" spans="1:7" ht="4.5" customHeight="1" x14ac:dyDescent="0.25">
      <c r="A88" s="21"/>
      <c r="B88" s="37"/>
      <c r="C88" s="29"/>
      <c r="D88" s="44"/>
      <c r="E88" s="44"/>
      <c r="F88" s="11"/>
      <c r="G88" s="41"/>
    </row>
    <row r="89" spans="1:7" ht="4.5" customHeight="1" x14ac:dyDescent="0.25">
      <c r="A89" s="21"/>
      <c r="B89" s="37"/>
      <c r="C89" s="29"/>
      <c r="D89" s="44"/>
      <c r="E89" s="44"/>
      <c r="F89" s="11"/>
      <c r="G89" s="41"/>
    </row>
    <row r="90" spans="1:7" ht="4.5" customHeight="1" x14ac:dyDescent="0.25">
      <c r="A90" s="21"/>
      <c r="B90" s="37"/>
      <c r="C90" s="29"/>
      <c r="D90" s="44"/>
      <c r="E90" s="44"/>
      <c r="F90" s="11"/>
      <c r="G90" s="41"/>
    </row>
    <row r="91" spans="1:7" ht="4.5" customHeight="1" x14ac:dyDescent="0.25">
      <c r="A91" s="21"/>
      <c r="B91" s="37"/>
      <c r="C91" s="29"/>
      <c r="D91" s="44"/>
      <c r="E91" s="44"/>
      <c r="F91" s="11"/>
      <c r="G91" s="41"/>
    </row>
    <row r="92" spans="1:7" ht="4.5" customHeight="1" x14ac:dyDescent="0.25">
      <c r="A92" s="21"/>
      <c r="B92" s="37"/>
      <c r="C92" s="29"/>
      <c r="D92" s="44"/>
      <c r="E92" s="44"/>
      <c r="F92" s="11"/>
      <c r="G92" s="41"/>
    </row>
    <row r="93" spans="1:7" ht="4.5" customHeight="1" x14ac:dyDescent="0.25">
      <c r="A93" s="21"/>
      <c r="B93" s="37"/>
      <c r="C93" s="29"/>
      <c r="D93" s="44"/>
      <c r="E93" s="44"/>
      <c r="F93" s="11"/>
      <c r="G93" s="41"/>
    </row>
    <row r="94" spans="1:7" ht="4.5" customHeight="1" x14ac:dyDescent="0.25">
      <c r="A94" s="21"/>
      <c r="B94" s="37"/>
      <c r="C94" s="30"/>
      <c r="D94" s="44"/>
      <c r="E94" s="44"/>
      <c r="F94" s="11"/>
      <c r="G94" s="41"/>
    </row>
    <row r="95" spans="1:7" ht="4.5" customHeight="1" x14ac:dyDescent="0.25">
      <c r="A95" s="21"/>
      <c r="B95" s="37"/>
      <c r="C95" s="28" t="s">
        <v>27</v>
      </c>
      <c r="D95" s="44"/>
      <c r="E95" s="44"/>
      <c r="F95" s="52" t="s">
        <v>27</v>
      </c>
      <c r="G95" s="41"/>
    </row>
    <row r="96" spans="1:7" ht="4.5" customHeight="1" x14ac:dyDescent="0.25">
      <c r="A96" s="21"/>
      <c r="B96" s="37"/>
      <c r="C96" s="29"/>
      <c r="D96" s="44"/>
      <c r="E96" s="44"/>
      <c r="F96" s="53"/>
      <c r="G96" s="41"/>
    </row>
    <row r="97" spans="1:7" ht="4.5" customHeight="1" x14ac:dyDescent="0.25">
      <c r="A97" s="21"/>
      <c r="B97" s="37"/>
      <c r="C97" s="29"/>
      <c r="D97" s="44"/>
      <c r="E97" s="44"/>
      <c r="F97" s="53"/>
      <c r="G97" s="41"/>
    </row>
    <row r="98" spans="1:7" ht="4.5" customHeight="1" x14ac:dyDescent="0.25">
      <c r="A98" s="21"/>
      <c r="B98" s="38"/>
      <c r="C98" s="29"/>
      <c r="D98" s="44"/>
      <c r="E98" s="44"/>
      <c r="F98" s="53"/>
      <c r="G98" s="41"/>
    </row>
    <row r="99" spans="1:7" ht="4.5" customHeight="1" x14ac:dyDescent="0.25">
      <c r="A99" s="21"/>
      <c r="B99" s="36" t="s">
        <v>18</v>
      </c>
      <c r="C99" s="29"/>
      <c r="D99" s="44"/>
      <c r="E99" s="44"/>
      <c r="F99" s="53"/>
      <c r="G99" s="41"/>
    </row>
    <row r="100" spans="1:7" ht="4.5" customHeight="1" x14ac:dyDescent="0.25">
      <c r="A100" s="21"/>
      <c r="B100" s="37"/>
      <c r="C100" s="29"/>
      <c r="D100" s="44"/>
      <c r="E100" s="44"/>
      <c r="F100" s="53"/>
      <c r="G100" s="41"/>
    </row>
    <row r="101" spans="1:7" ht="4.5" customHeight="1" x14ac:dyDescent="0.25">
      <c r="A101" s="21"/>
      <c r="B101" s="37"/>
      <c r="C101" s="29"/>
      <c r="D101" s="44"/>
      <c r="E101" s="44"/>
      <c r="F101" s="53"/>
      <c r="G101" s="41"/>
    </row>
    <row r="102" spans="1:7" ht="4.5" customHeight="1" x14ac:dyDescent="0.25">
      <c r="A102" s="21"/>
      <c r="B102" s="37"/>
      <c r="C102" s="29"/>
      <c r="D102" s="44"/>
      <c r="E102" s="44"/>
      <c r="F102" s="53"/>
      <c r="G102" s="41"/>
    </row>
    <row r="103" spans="1:7" ht="4.5" customHeight="1" x14ac:dyDescent="0.25">
      <c r="A103" s="21"/>
      <c r="B103" s="37"/>
      <c r="C103" s="29"/>
      <c r="D103" s="44"/>
      <c r="E103" s="44"/>
      <c r="F103" s="53"/>
      <c r="G103" s="41"/>
    </row>
    <row r="104" spans="1:7" ht="4.5" customHeight="1" x14ac:dyDescent="0.25">
      <c r="A104" s="21"/>
      <c r="B104" s="37"/>
      <c r="C104" s="30"/>
      <c r="D104" s="44"/>
      <c r="E104" s="44"/>
      <c r="F104" s="56"/>
      <c r="G104" s="41"/>
    </row>
    <row r="105" spans="1:7" ht="4.5" customHeight="1" x14ac:dyDescent="0.25">
      <c r="A105" s="21"/>
      <c r="B105" s="37"/>
      <c r="C105" s="49" t="s">
        <v>48</v>
      </c>
      <c r="D105" s="44"/>
      <c r="E105" s="44"/>
      <c r="F105" s="28" t="s">
        <v>48</v>
      </c>
      <c r="G105" s="41"/>
    </row>
    <row r="106" spans="1:7" ht="4.5" customHeight="1" x14ac:dyDescent="0.25">
      <c r="A106" s="21"/>
      <c r="B106" s="37"/>
      <c r="C106" s="50"/>
      <c r="D106" s="44"/>
      <c r="E106" s="44"/>
      <c r="F106" s="29"/>
      <c r="G106" s="41"/>
    </row>
    <row r="107" spans="1:7" ht="4.5" customHeight="1" x14ac:dyDescent="0.25">
      <c r="A107" s="21"/>
      <c r="B107" s="37"/>
      <c r="C107" s="50"/>
      <c r="D107" s="44"/>
      <c r="E107" s="44"/>
      <c r="F107" s="29"/>
      <c r="G107" s="41"/>
    </row>
    <row r="108" spans="1:7" ht="4.5" customHeight="1" x14ac:dyDescent="0.25">
      <c r="A108" s="21"/>
      <c r="B108" s="37"/>
      <c r="C108" s="51"/>
      <c r="D108" s="44"/>
      <c r="E108" s="44"/>
      <c r="F108" s="30"/>
      <c r="G108" s="41"/>
    </row>
    <row r="109" spans="1:7" ht="4.5" customHeight="1" x14ac:dyDescent="0.25">
      <c r="A109" s="21"/>
      <c r="B109" s="37"/>
      <c r="C109" s="28" t="s">
        <v>27</v>
      </c>
      <c r="D109" s="44"/>
      <c r="E109" s="44"/>
      <c r="F109" s="28" t="s">
        <v>27</v>
      </c>
      <c r="G109" s="41"/>
    </row>
    <row r="110" spans="1:7" ht="4.5" customHeight="1" x14ac:dyDescent="0.25">
      <c r="A110" s="21"/>
      <c r="B110" s="38"/>
      <c r="C110" s="29"/>
      <c r="D110" s="44"/>
      <c r="E110" s="44"/>
      <c r="F110" s="29"/>
      <c r="G110" s="41"/>
    </row>
    <row r="111" spans="1:7" ht="4.5" customHeight="1" x14ac:dyDescent="0.25">
      <c r="A111" s="21"/>
      <c r="B111" s="36" t="s">
        <v>19</v>
      </c>
      <c r="C111" s="29"/>
      <c r="D111" s="44"/>
      <c r="E111" s="44"/>
      <c r="F111" s="29"/>
      <c r="G111" s="41"/>
    </row>
    <row r="112" spans="1:7" ht="4.5" customHeight="1" x14ac:dyDescent="0.25">
      <c r="A112" s="21"/>
      <c r="B112" s="37"/>
      <c r="C112" s="29"/>
      <c r="D112" s="44"/>
      <c r="E112" s="44"/>
      <c r="F112" s="29"/>
      <c r="G112" s="41"/>
    </row>
    <row r="113" spans="1:7" ht="4.5" customHeight="1" x14ac:dyDescent="0.25">
      <c r="A113" s="21"/>
      <c r="B113" s="37"/>
      <c r="C113" s="29"/>
      <c r="D113" s="44"/>
      <c r="E113" s="44"/>
      <c r="F113" s="29"/>
      <c r="G113" s="41"/>
    </row>
    <row r="114" spans="1:7" ht="4.5" customHeight="1" x14ac:dyDescent="0.25">
      <c r="A114" s="21"/>
      <c r="B114" s="37"/>
      <c r="C114" s="29"/>
      <c r="D114" s="44"/>
      <c r="E114" s="44"/>
      <c r="F114" s="29"/>
      <c r="G114" s="41"/>
    </row>
    <row r="115" spans="1:7" ht="4.5" customHeight="1" x14ac:dyDescent="0.25">
      <c r="A115" s="21"/>
      <c r="B115" s="37"/>
      <c r="C115" s="29"/>
      <c r="D115" s="44"/>
      <c r="E115" s="44"/>
      <c r="F115" s="29"/>
      <c r="G115" s="41"/>
    </row>
    <row r="116" spans="1:7" ht="4.5" customHeight="1" x14ac:dyDescent="0.25">
      <c r="A116" s="21"/>
      <c r="B116" s="37"/>
      <c r="C116" s="29"/>
      <c r="D116" s="44"/>
      <c r="E116" s="44"/>
      <c r="F116" s="29"/>
      <c r="G116" s="41"/>
    </row>
    <row r="117" spans="1:7" ht="4.5" customHeight="1" x14ac:dyDescent="0.25">
      <c r="A117" s="21"/>
      <c r="B117" s="37"/>
      <c r="C117" s="29"/>
      <c r="D117" s="44"/>
      <c r="E117" s="44"/>
      <c r="F117" s="29"/>
      <c r="G117" s="41"/>
    </row>
    <row r="118" spans="1:7" ht="4.5" customHeight="1" x14ac:dyDescent="0.25">
      <c r="A118" s="21"/>
      <c r="B118" s="37"/>
      <c r="C118" s="30"/>
      <c r="D118" s="44"/>
      <c r="E118" s="44"/>
      <c r="F118" s="30"/>
      <c r="G118" s="41"/>
    </row>
    <row r="119" spans="1:7" ht="4.5" customHeight="1" x14ac:dyDescent="0.25">
      <c r="A119" s="21"/>
      <c r="B119" s="37"/>
      <c r="C119" s="28" t="s">
        <v>27</v>
      </c>
      <c r="D119" s="44"/>
      <c r="E119" s="44"/>
      <c r="F119" s="49" t="s">
        <v>50</v>
      </c>
      <c r="G119" s="41"/>
    </row>
    <row r="120" spans="1:7" ht="4.5" customHeight="1" x14ac:dyDescent="0.25">
      <c r="A120" s="21"/>
      <c r="B120" s="37"/>
      <c r="C120" s="29"/>
      <c r="D120" s="44"/>
      <c r="E120" s="44"/>
      <c r="F120" s="50"/>
      <c r="G120" s="41"/>
    </row>
    <row r="121" spans="1:7" ht="4.5" customHeight="1" x14ac:dyDescent="0.25">
      <c r="A121" s="21"/>
      <c r="B121" s="37"/>
      <c r="C121" s="29"/>
      <c r="D121" s="44"/>
      <c r="E121" s="44"/>
      <c r="F121" s="50"/>
      <c r="G121" s="41"/>
    </row>
    <row r="122" spans="1:7" ht="4.5" customHeight="1" x14ac:dyDescent="0.25">
      <c r="A122" s="21"/>
      <c r="B122" s="38"/>
      <c r="C122" s="29"/>
      <c r="D122" s="45"/>
      <c r="E122" s="45"/>
      <c r="F122" s="50"/>
      <c r="G122" s="41"/>
    </row>
    <row r="123" spans="1:7" ht="4.5" customHeight="1" x14ac:dyDescent="0.25">
      <c r="A123" s="21"/>
      <c r="B123" s="36" t="s">
        <v>20</v>
      </c>
      <c r="C123" s="29"/>
      <c r="D123" s="7"/>
      <c r="E123" s="11"/>
      <c r="F123" s="50"/>
      <c r="G123" s="41"/>
    </row>
    <row r="124" spans="1:7" ht="4.5" customHeight="1" x14ac:dyDescent="0.25">
      <c r="A124" s="21"/>
      <c r="B124" s="37"/>
      <c r="C124" s="29"/>
      <c r="D124" s="7"/>
      <c r="E124" s="11"/>
      <c r="F124" s="50"/>
      <c r="G124" s="41"/>
    </row>
    <row r="125" spans="1:7" ht="4.5" customHeight="1" x14ac:dyDescent="0.25">
      <c r="A125" s="21"/>
      <c r="B125" s="37"/>
      <c r="C125" s="29"/>
      <c r="D125" s="7"/>
      <c r="E125" s="11"/>
      <c r="F125" s="50"/>
      <c r="G125" s="41"/>
    </row>
    <row r="126" spans="1:7" ht="4.5" customHeight="1" x14ac:dyDescent="0.25">
      <c r="A126" s="21"/>
      <c r="B126" s="37"/>
      <c r="C126" s="29"/>
      <c r="D126" s="9"/>
      <c r="E126" s="11"/>
      <c r="F126" s="50"/>
      <c r="G126" s="41"/>
    </row>
    <row r="127" spans="1:7" ht="4.5" customHeight="1" x14ac:dyDescent="0.25">
      <c r="A127" s="21"/>
      <c r="B127" s="37"/>
      <c r="C127" s="29"/>
      <c r="D127" s="11"/>
      <c r="E127" s="11"/>
      <c r="F127" s="50"/>
      <c r="G127" s="41"/>
    </row>
    <row r="128" spans="1:7" ht="4.5" customHeight="1" x14ac:dyDescent="0.25">
      <c r="A128" s="21"/>
      <c r="B128" s="37"/>
      <c r="C128" s="30"/>
      <c r="D128" s="7"/>
      <c r="E128" s="11"/>
      <c r="F128" s="50"/>
      <c r="G128" s="41"/>
    </row>
    <row r="129" spans="1:7" ht="4.5" customHeight="1" x14ac:dyDescent="0.25">
      <c r="A129" s="21"/>
      <c r="B129" s="37"/>
      <c r="C129" s="52" t="s">
        <v>48</v>
      </c>
      <c r="D129" s="7"/>
      <c r="E129" s="11"/>
      <c r="F129" s="50"/>
      <c r="G129" s="41"/>
    </row>
    <row r="130" spans="1:7" ht="4.5" customHeight="1" x14ac:dyDescent="0.25">
      <c r="A130" s="21"/>
      <c r="B130" s="37"/>
      <c r="C130" s="53"/>
      <c r="D130" s="11"/>
      <c r="E130" s="11"/>
      <c r="F130" s="51"/>
      <c r="G130" s="41"/>
    </row>
    <row r="131" spans="1:7" ht="4.5" customHeight="1" x14ac:dyDescent="0.25">
      <c r="A131" s="21"/>
      <c r="B131" s="37"/>
      <c r="C131" s="53"/>
      <c r="D131" s="11"/>
      <c r="E131" s="11"/>
      <c r="F131" s="11"/>
      <c r="G131" s="41"/>
    </row>
    <row r="132" spans="1:7" ht="4.5" customHeight="1" x14ac:dyDescent="0.25">
      <c r="A132" s="21"/>
      <c r="B132" s="37"/>
      <c r="C132" s="53"/>
      <c r="D132" s="11"/>
      <c r="E132" s="11"/>
      <c r="F132" s="11"/>
      <c r="G132" s="41"/>
    </row>
    <row r="133" spans="1:7" ht="4.5" customHeight="1" x14ac:dyDescent="0.25">
      <c r="A133" s="21"/>
      <c r="B133" s="37"/>
      <c r="C133" s="53"/>
      <c r="D133" s="11"/>
      <c r="E133" s="11"/>
      <c r="F133" s="11"/>
      <c r="G133" s="41"/>
    </row>
    <row r="134" spans="1:7" ht="4.5" customHeight="1" thickBot="1" x14ac:dyDescent="0.3">
      <c r="A134" s="22"/>
      <c r="B134" s="55"/>
      <c r="C134" s="54"/>
      <c r="D134" s="13"/>
      <c r="E134" s="13"/>
      <c r="F134" s="13"/>
      <c r="G134" s="42"/>
    </row>
    <row r="135" spans="1:7" ht="4.5" customHeight="1" thickTop="1" x14ac:dyDescent="0.25">
      <c r="A135" s="20" t="s">
        <v>21</v>
      </c>
      <c r="B135" s="39" t="s">
        <v>22</v>
      </c>
      <c r="C135" s="5"/>
      <c r="D135" s="5"/>
      <c r="E135" s="5"/>
      <c r="F135" s="5"/>
      <c r="G135" s="6"/>
    </row>
    <row r="136" spans="1:7" ht="4.5" customHeight="1" x14ac:dyDescent="0.25">
      <c r="A136" s="21"/>
      <c r="B136" s="37"/>
      <c r="C136" s="7"/>
      <c r="D136" s="7"/>
      <c r="E136" s="7"/>
      <c r="F136" s="7"/>
      <c r="G136" s="8"/>
    </row>
    <row r="137" spans="1:7" ht="4.5" customHeight="1" x14ac:dyDescent="0.25">
      <c r="A137" s="21"/>
      <c r="B137" s="37"/>
      <c r="C137" s="7"/>
      <c r="D137" s="7"/>
      <c r="E137" s="7"/>
      <c r="F137" s="7"/>
      <c r="G137" s="8"/>
    </row>
    <row r="138" spans="1:7" ht="4.5" customHeight="1" x14ac:dyDescent="0.25">
      <c r="A138" s="21"/>
      <c r="B138" s="37"/>
      <c r="C138" s="7"/>
      <c r="D138" s="7"/>
      <c r="E138" s="7"/>
      <c r="F138" s="7"/>
      <c r="G138" s="8"/>
    </row>
    <row r="139" spans="1:7" ht="4.5" customHeight="1" x14ac:dyDescent="0.25">
      <c r="A139" s="21"/>
      <c r="B139" s="37"/>
      <c r="C139" s="7"/>
      <c r="D139" s="7"/>
      <c r="E139" s="7"/>
      <c r="F139" s="7"/>
      <c r="G139" s="8"/>
    </row>
    <row r="140" spans="1:7" ht="4.5" customHeight="1" x14ac:dyDescent="0.25">
      <c r="A140" s="21"/>
      <c r="B140" s="37"/>
      <c r="C140" s="7"/>
      <c r="D140" s="7"/>
      <c r="E140" s="7"/>
      <c r="F140" s="7"/>
      <c r="G140" s="8"/>
    </row>
    <row r="141" spans="1:7" ht="4.5" customHeight="1" x14ac:dyDescent="0.25">
      <c r="A141" s="21"/>
      <c r="B141" s="37"/>
      <c r="C141" s="7"/>
      <c r="D141" s="7"/>
      <c r="E141" s="7"/>
      <c r="F141" s="7"/>
      <c r="G141" s="8"/>
    </row>
    <row r="142" spans="1:7" ht="4.5" customHeight="1" x14ac:dyDescent="0.25">
      <c r="A142" s="21"/>
      <c r="B142" s="37"/>
      <c r="C142" s="7"/>
      <c r="D142" s="7"/>
      <c r="E142" s="7"/>
      <c r="F142" s="7"/>
      <c r="G142" s="8"/>
    </row>
    <row r="143" spans="1:7" ht="4.5" customHeight="1" x14ac:dyDescent="0.25">
      <c r="A143" s="21"/>
      <c r="B143" s="37"/>
      <c r="C143" s="7"/>
      <c r="D143" s="7"/>
      <c r="E143" s="7"/>
      <c r="F143" s="7"/>
      <c r="G143" s="8"/>
    </row>
    <row r="144" spans="1:7" ht="4.5" customHeight="1" x14ac:dyDescent="0.25">
      <c r="A144" s="21"/>
      <c r="B144" s="37"/>
      <c r="C144" s="7"/>
      <c r="D144" s="7"/>
      <c r="E144" s="7"/>
      <c r="F144" s="7"/>
      <c r="G144" s="8"/>
    </row>
    <row r="145" spans="1:7" ht="4.5" customHeight="1" x14ac:dyDescent="0.25">
      <c r="A145" s="21"/>
      <c r="B145" s="37"/>
      <c r="C145" s="16"/>
      <c r="D145" s="7"/>
      <c r="E145" s="7"/>
      <c r="F145" s="7"/>
      <c r="G145" s="8"/>
    </row>
    <row r="146" spans="1:7" ht="4.5" customHeight="1" x14ac:dyDescent="0.25">
      <c r="A146" s="21"/>
      <c r="B146" s="38"/>
      <c r="C146" s="17"/>
      <c r="D146" s="7"/>
      <c r="E146" s="7"/>
      <c r="F146" s="7"/>
      <c r="G146" s="8"/>
    </row>
    <row r="147" spans="1:7" ht="4.5" customHeight="1" x14ac:dyDescent="0.25">
      <c r="A147" s="21"/>
      <c r="B147" s="36" t="s">
        <v>23</v>
      </c>
      <c r="C147" s="46" t="s">
        <v>28</v>
      </c>
      <c r="D147" s="7"/>
      <c r="E147" s="7"/>
      <c r="F147" s="46" t="s">
        <v>29</v>
      </c>
      <c r="G147" s="46" t="s">
        <v>29</v>
      </c>
    </row>
    <row r="148" spans="1:7" ht="4.5" customHeight="1" x14ac:dyDescent="0.25">
      <c r="A148" s="21"/>
      <c r="B148" s="37"/>
      <c r="C148" s="47"/>
      <c r="D148" s="7"/>
      <c r="E148" s="7"/>
      <c r="F148" s="47"/>
      <c r="G148" s="47"/>
    </row>
    <row r="149" spans="1:7" ht="4.5" customHeight="1" x14ac:dyDescent="0.25">
      <c r="A149" s="21"/>
      <c r="B149" s="37"/>
      <c r="C149" s="47"/>
      <c r="D149" s="7"/>
      <c r="E149" s="7"/>
      <c r="F149" s="47"/>
      <c r="G149" s="47"/>
    </row>
    <row r="150" spans="1:7" ht="4.5" customHeight="1" x14ac:dyDescent="0.25">
      <c r="A150" s="21"/>
      <c r="B150" s="37"/>
      <c r="C150" s="47"/>
      <c r="D150" s="7"/>
      <c r="E150" s="7"/>
      <c r="F150" s="47"/>
      <c r="G150" s="47"/>
    </row>
    <row r="151" spans="1:7" ht="4.5" customHeight="1" x14ac:dyDescent="0.25">
      <c r="A151" s="21"/>
      <c r="B151" s="37"/>
      <c r="C151" s="47"/>
      <c r="D151" s="7"/>
      <c r="E151" s="7"/>
      <c r="F151" s="47"/>
      <c r="G151" s="47"/>
    </row>
    <row r="152" spans="1:7" ht="4.5" customHeight="1" x14ac:dyDescent="0.25">
      <c r="A152" s="21"/>
      <c r="B152" s="37"/>
      <c r="C152" s="47"/>
      <c r="D152" s="7"/>
      <c r="E152" s="7"/>
      <c r="F152" s="47"/>
      <c r="G152" s="47"/>
    </row>
    <row r="153" spans="1:7" ht="4.5" customHeight="1" x14ac:dyDescent="0.25">
      <c r="A153" s="21"/>
      <c r="B153" s="37"/>
      <c r="C153" s="47"/>
      <c r="D153" s="7"/>
      <c r="E153" s="7"/>
      <c r="F153" s="47"/>
      <c r="G153" s="47"/>
    </row>
    <row r="154" spans="1:7" ht="4.5" customHeight="1" x14ac:dyDescent="0.25">
      <c r="A154" s="21"/>
      <c r="B154" s="37"/>
      <c r="C154" s="47"/>
      <c r="D154" s="7"/>
      <c r="E154" s="7"/>
      <c r="F154" s="47"/>
      <c r="G154" s="47"/>
    </row>
    <row r="155" spans="1:7" ht="4.5" customHeight="1" x14ac:dyDescent="0.25">
      <c r="A155" s="21"/>
      <c r="B155" s="37"/>
      <c r="C155" s="48"/>
      <c r="D155" s="7"/>
      <c r="E155" s="7"/>
      <c r="F155" s="48"/>
      <c r="G155" s="48"/>
    </row>
    <row r="156" spans="1:7" ht="4.5" customHeight="1" x14ac:dyDescent="0.25">
      <c r="A156" s="21"/>
      <c r="B156" s="37"/>
      <c r="C156" s="46" t="s">
        <v>28</v>
      </c>
      <c r="D156" s="7"/>
      <c r="E156" s="7"/>
      <c r="F156" s="46" t="s">
        <v>29</v>
      </c>
      <c r="G156" s="46" t="s">
        <v>29</v>
      </c>
    </row>
    <row r="157" spans="1:7" ht="4.5" customHeight="1" x14ac:dyDescent="0.25">
      <c r="A157" s="21"/>
      <c r="B157" s="37"/>
      <c r="C157" s="47"/>
      <c r="D157" s="7"/>
      <c r="E157" s="7"/>
      <c r="F157" s="47"/>
      <c r="G157" s="47"/>
    </row>
    <row r="158" spans="1:7" ht="4.5" customHeight="1" x14ac:dyDescent="0.25">
      <c r="A158" s="21"/>
      <c r="B158" s="38"/>
      <c r="C158" s="47"/>
      <c r="D158" s="7"/>
      <c r="E158" s="7"/>
      <c r="F158" s="47"/>
      <c r="G158" s="47"/>
    </row>
    <row r="159" spans="1:7" ht="4.5" customHeight="1" x14ac:dyDescent="0.25">
      <c r="A159" s="21"/>
      <c r="B159" s="36" t="s">
        <v>24</v>
      </c>
      <c r="C159" s="47"/>
      <c r="D159" s="7"/>
      <c r="E159" s="7"/>
      <c r="F159" s="47"/>
      <c r="G159" s="47"/>
    </row>
    <row r="160" spans="1:7" ht="4.5" customHeight="1" x14ac:dyDescent="0.25">
      <c r="A160" s="21"/>
      <c r="B160" s="37"/>
      <c r="C160" s="47"/>
      <c r="D160" s="7"/>
      <c r="E160" s="7"/>
      <c r="F160" s="47"/>
      <c r="G160" s="47"/>
    </row>
    <row r="161" spans="1:7" ht="4.5" customHeight="1" x14ac:dyDescent="0.25">
      <c r="A161" s="21"/>
      <c r="B161" s="37"/>
      <c r="C161" s="47"/>
      <c r="D161" s="7"/>
      <c r="E161" s="7"/>
      <c r="F161" s="47"/>
      <c r="G161" s="47"/>
    </row>
    <row r="162" spans="1:7" ht="4.5" customHeight="1" x14ac:dyDescent="0.25">
      <c r="A162" s="21"/>
      <c r="B162" s="37"/>
      <c r="C162" s="47"/>
      <c r="D162" s="7"/>
      <c r="E162" s="7"/>
      <c r="F162" s="47"/>
      <c r="G162" s="47"/>
    </row>
    <row r="163" spans="1:7" ht="4.5" customHeight="1" x14ac:dyDescent="0.25">
      <c r="A163" s="21"/>
      <c r="B163" s="37"/>
      <c r="C163" s="47"/>
      <c r="D163" s="7"/>
      <c r="E163" s="7"/>
      <c r="F163" s="47"/>
      <c r="G163" s="47"/>
    </row>
    <row r="164" spans="1:7" ht="4.5" customHeight="1" x14ac:dyDescent="0.25">
      <c r="A164" s="21"/>
      <c r="B164" s="37"/>
      <c r="C164" s="48"/>
      <c r="D164" s="7"/>
      <c r="E164" s="7"/>
      <c r="F164" s="48"/>
      <c r="G164" s="48"/>
    </row>
    <row r="165" spans="1:7" ht="4.5" customHeight="1" x14ac:dyDescent="0.25">
      <c r="A165" s="21"/>
      <c r="B165" s="37"/>
      <c r="C165" s="46" t="s">
        <v>28</v>
      </c>
      <c r="D165" s="7"/>
      <c r="E165" s="7"/>
      <c r="F165" s="46" t="s">
        <v>48</v>
      </c>
      <c r="G165" s="46" t="s">
        <v>29</v>
      </c>
    </row>
    <row r="166" spans="1:7" ht="4.5" customHeight="1" x14ac:dyDescent="0.25">
      <c r="A166" s="21"/>
      <c r="B166" s="37"/>
      <c r="C166" s="47"/>
      <c r="D166" s="7"/>
      <c r="E166" s="7"/>
      <c r="F166" s="47"/>
      <c r="G166" s="47"/>
    </row>
    <row r="167" spans="1:7" ht="4.5" customHeight="1" x14ac:dyDescent="0.25">
      <c r="A167" s="21"/>
      <c r="B167" s="37"/>
      <c r="C167" s="47"/>
      <c r="D167" s="7"/>
      <c r="E167" s="7"/>
      <c r="F167" s="47"/>
      <c r="G167" s="47"/>
    </row>
    <row r="168" spans="1:7" ht="4.5" customHeight="1" x14ac:dyDescent="0.25">
      <c r="A168" s="21"/>
      <c r="B168" s="37"/>
      <c r="C168" s="47"/>
      <c r="D168" s="7"/>
      <c r="E168" s="7"/>
      <c r="F168" s="47"/>
      <c r="G168" s="47"/>
    </row>
    <row r="169" spans="1:7" ht="4.5" customHeight="1" x14ac:dyDescent="0.25">
      <c r="A169" s="21"/>
      <c r="B169" s="37"/>
      <c r="C169" s="47"/>
      <c r="D169" s="7"/>
      <c r="E169" s="7"/>
      <c r="F169" s="47"/>
      <c r="G169" s="47"/>
    </row>
    <row r="170" spans="1:7" ht="4.5" customHeight="1" x14ac:dyDescent="0.25">
      <c r="A170" s="21"/>
      <c r="B170" s="38"/>
      <c r="C170" s="47"/>
      <c r="D170" s="7"/>
      <c r="E170" s="7"/>
      <c r="F170" s="47"/>
      <c r="G170" s="47"/>
    </row>
    <row r="171" spans="1:7" ht="4.5" customHeight="1" x14ac:dyDescent="0.25">
      <c r="A171" s="21"/>
      <c r="B171" s="36" t="s">
        <v>25</v>
      </c>
      <c r="C171" s="47"/>
      <c r="D171" s="7"/>
      <c r="E171" s="7"/>
      <c r="F171" s="48"/>
      <c r="G171" s="47"/>
    </row>
    <row r="172" spans="1:7" ht="4.5" customHeight="1" x14ac:dyDescent="0.25">
      <c r="A172" s="21"/>
      <c r="B172" s="37"/>
      <c r="C172" s="47"/>
      <c r="D172" s="7"/>
      <c r="E172" s="7"/>
      <c r="F172" s="7"/>
      <c r="G172" s="47"/>
    </row>
    <row r="173" spans="1:7" ht="4.5" customHeight="1" x14ac:dyDescent="0.25">
      <c r="A173" s="21"/>
      <c r="B173" s="37"/>
      <c r="C173" s="48"/>
      <c r="D173" s="7"/>
      <c r="E173" s="7"/>
      <c r="F173" s="7"/>
      <c r="G173" s="48"/>
    </row>
    <row r="174" spans="1:7" ht="4.5" customHeight="1" x14ac:dyDescent="0.25">
      <c r="A174" s="21"/>
      <c r="B174" s="37"/>
      <c r="C174" s="46" t="s">
        <v>28</v>
      </c>
      <c r="D174" s="7"/>
      <c r="E174" s="7"/>
      <c r="F174" s="7"/>
      <c r="G174" s="46" t="s">
        <v>29</v>
      </c>
    </row>
    <row r="175" spans="1:7" ht="4.5" customHeight="1" x14ac:dyDescent="0.25">
      <c r="A175" s="21"/>
      <c r="B175" s="37"/>
      <c r="C175" s="47"/>
      <c r="D175" s="7"/>
      <c r="E175" s="7"/>
      <c r="F175" s="7"/>
      <c r="G175" s="47"/>
    </row>
    <row r="176" spans="1:7" ht="4.5" customHeight="1" x14ac:dyDescent="0.25">
      <c r="A176" s="21"/>
      <c r="B176" s="37"/>
      <c r="C176" s="47"/>
      <c r="D176" s="7"/>
      <c r="E176" s="7"/>
      <c r="F176" s="7"/>
      <c r="G176" s="47"/>
    </row>
    <row r="177" spans="1:7" ht="4.5" customHeight="1" x14ac:dyDescent="0.25">
      <c r="A177" s="21"/>
      <c r="B177" s="37"/>
      <c r="C177" s="47"/>
      <c r="D177" s="7"/>
      <c r="E177" s="7"/>
      <c r="F177" s="7"/>
      <c r="G177" s="47"/>
    </row>
    <row r="178" spans="1:7" ht="4.5" customHeight="1" x14ac:dyDescent="0.25">
      <c r="A178" s="21"/>
      <c r="B178" s="37"/>
      <c r="C178" s="47"/>
      <c r="D178" s="9"/>
      <c r="E178" s="9"/>
      <c r="F178" s="9"/>
      <c r="G178" s="47"/>
    </row>
    <row r="179" spans="1:7" ht="4.5" customHeight="1" x14ac:dyDescent="0.25">
      <c r="A179" s="21"/>
      <c r="B179" s="37"/>
      <c r="C179" s="47"/>
      <c r="D179" s="11"/>
      <c r="E179" s="11"/>
      <c r="F179" s="11"/>
      <c r="G179" s="47"/>
    </row>
    <row r="180" spans="1:7" ht="4.5" customHeight="1" x14ac:dyDescent="0.25">
      <c r="A180" s="21"/>
      <c r="B180" s="37"/>
      <c r="C180" s="47"/>
      <c r="D180" s="11"/>
      <c r="E180" s="11"/>
      <c r="F180" s="11"/>
      <c r="G180" s="47"/>
    </row>
    <row r="181" spans="1:7" ht="4.5" customHeight="1" x14ac:dyDescent="0.25">
      <c r="A181" s="21"/>
      <c r="B181" s="37"/>
      <c r="C181" s="47"/>
      <c r="D181" s="11"/>
      <c r="E181" s="11"/>
      <c r="F181" s="11"/>
      <c r="G181" s="47"/>
    </row>
    <row r="182" spans="1:7" ht="4.5" customHeight="1" x14ac:dyDescent="0.25">
      <c r="A182" s="21"/>
      <c r="B182" s="38"/>
      <c r="C182" s="48"/>
      <c r="D182" s="11"/>
      <c r="E182" s="11"/>
      <c r="F182" s="11"/>
      <c r="G182" s="48"/>
    </row>
    <row r="183" spans="1:7" ht="4.5" customHeight="1" x14ac:dyDescent="0.25">
      <c r="A183" s="21"/>
      <c r="B183" s="36" t="s">
        <v>26</v>
      </c>
      <c r="C183" s="11"/>
      <c r="D183" s="11"/>
      <c r="E183" s="11"/>
      <c r="F183" s="11"/>
      <c r="G183" s="12"/>
    </row>
    <row r="184" spans="1:7" ht="4.5" customHeight="1" x14ac:dyDescent="0.25">
      <c r="A184" s="21"/>
      <c r="B184" s="37"/>
      <c r="C184" s="11"/>
      <c r="D184" s="11"/>
      <c r="E184" s="11"/>
      <c r="F184" s="11"/>
      <c r="G184" s="12"/>
    </row>
    <row r="185" spans="1:7" ht="4.5" customHeight="1" x14ac:dyDescent="0.25">
      <c r="A185" s="21"/>
      <c r="B185" s="37"/>
      <c r="C185" s="11"/>
      <c r="D185" s="11"/>
      <c r="E185" s="11"/>
      <c r="F185" s="11"/>
      <c r="G185" s="12"/>
    </row>
    <row r="186" spans="1:7" ht="4.5" customHeight="1" x14ac:dyDescent="0.25">
      <c r="A186" s="21"/>
      <c r="B186" s="37"/>
      <c r="C186" s="11"/>
      <c r="D186" s="11"/>
      <c r="E186" s="11"/>
      <c r="F186" s="11"/>
      <c r="G186" s="12"/>
    </row>
    <row r="187" spans="1:7" ht="4.5" customHeight="1" x14ac:dyDescent="0.25">
      <c r="A187" s="21"/>
      <c r="B187" s="37"/>
      <c r="C187" s="11"/>
      <c r="D187" s="11"/>
      <c r="E187" s="11"/>
      <c r="F187" s="11"/>
      <c r="G187" s="12"/>
    </row>
    <row r="188" spans="1:7" ht="4.5" customHeight="1" x14ac:dyDescent="0.25">
      <c r="A188" s="21"/>
      <c r="B188" s="37"/>
      <c r="C188" s="11"/>
      <c r="D188" s="11"/>
      <c r="E188" s="11"/>
      <c r="F188" s="11"/>
      <c r="G188" s="12"/>
    </row>
    <row r="189" spans="1:7" ht="4.5" customHeight="1" x14ac:dyDescent="0.25">
      <c r="A189" s="21"/>
      <c r="B189" s="37"/>
      <c r="C189" s="11"/>
      <c r="D189" s="11"/>
      <c r="E189" s="11"/>
      <c r="F189" s="11"/>
      <c r="G189" s="12"/>
    </row>
    <row r="190" spans="1:7" ht="4.5" customHeight="1" x14ac:dyDescent="0.25">
      <c r="A190" s="21"/>
      <c r="B190" s="37"/>
      <c r="C190" s="11"/>
      <c r="D190" s="11"/>
      <c r="E190" s="11"/>
      <c r="F190" s="11"/>
      <c r="G190" s="12"/>
    </row>
    <row r="191" spans="1:7" ht="4.5" customHeight="1" x14ac:dyDescent="0.25">
      <c r="A191" s="21"/>
      <c r="B191" s="37"/>
      <c r="C191" s="11"/>
      <c r="D191" s="11"/>
      <c r="E191" s="11"/>
      <c r="F191" s="11"/>
      <c r="G191" s="12"/>
    </row>
    <row r="192" spans="1:7" ht="4.5" customHeight="1" x14ac:dyDescent="0.25">
      <c r="A192" s="21"/>
      <c r="B192" s="37"/>
      <c r="C192" s="11"/>
      <c r="D192" s="11"/>
      <c r="E192" s="11"/>
      <c r="F192" s="11"/>
      <c r="G192" s="12"/>
    </row>
    <row r="193" spans="1:7" ht="4.5" customHeight="1" x14ac:dyDescent="0.25">
      <c r="A193" s="21"/>
      <c r="B193" s="37"/>
      <c r="C193" s="11"/>
      <c r="D193" s="11"/>
      <c r="E193" s="11"/>
      <c r="F193" s="11"/>
      <c r="G193" s="12"/>
    </row>
    <row r="194" spans="1:7" ht="4.5" customHeight="1" thickBot="1" x14ac:dyDescent="0.3">
      <c r="A194" s="22"/>
      <c r="B194" s="55"/>
      <c r="C194" s="13"/>
      <c r="D194" s="13"/>
      <c r="E194" s="13"/>
      <c r="F194" s="13"/>
      <c r="G194" s="14"/>
    </row>
    <row r="195" spans="1:7" ht="15.75" customHeight="1" thickTop="1" x14ac:dyDescent="0.25">
      <c r="C195" s="15"/>
      <c r="D195" s="15"/>
      <c r="E195" s="15"/>
      <c r="F195" s="15"/>
      <c r="G195" s="15"/>
    </row>
    <row r="196" spans="1:7" ht="15.75" customHeight="1" x14ac:dyDescent="0.25">
      <c r="C196" s="15"/>
      <c r="D196" s="15"/>
      <c r="E196" s="15"/>
      <c r="F196" s="15"/>
      <c r="G196" s="15"/>
    </row>
    <row r="197" spans="1:7" ht="15.75" customHeight="1" x14ac:dyDescent="0.25"/>
    <row r="198" spans="1:7" ht="15.75" customHeight="1" x14ac:dyDescent="0.25"/>
    <row r="199" spans="1:7" ht="15.75" customHeight="1" x14ac:dyDescent="0.25"/>
    <row r="200" spans="1:7" ht="15.75" customHeight="1" x14ac:dyDescent="0.25"/>
    <row r="201" spans="1:7" ht="15.75" customHeight="1" x14ac:dyDescent="0.25"/>
    <row r="202" spans="1:7" ht="15.75" customHeight="1" x14ac:dyDescent="0.25"/>
    <row r="203" spans="1:7" ht="15.75" customHeight="1" x14ac:dyDescent="0.25"/>
    <row r="204" spans="1:7" ht="15.75" customHeight="1" x14ac:dyDescent="0.25"/>
    <row r="205" spans="1:7" ht="15.75" customHeight="1" x14ac:dyDescent="0.25"/>
    <row r="206" spans="1:7" ht="15.75" customHeight="1" x14ac:dyDescent="0.25"/>
    <row r="207" spans="1:7" ht="15.75" customHeight="1" x14ac:dyDescent="0.25"/>
    <row r="208" spans="1:7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  <row r="1018" ht="15.75" customHeight="1" x14ac:dyDescent="0.25"/>
    <row r="1019" ht="15.75" customHeight="1" x14ac:dyDescent="0.25"/>
    <row r="1020" ht="15.75" customHeight="1" x14ac:dyDescent="0.25"/>
    <row r="1021" ht="15.75" customHeight="1" x14ac:dyDescent="0.25"/>
    <row r="1022" ht="15.75" customHeight="1" x14ac:dyDescent="0.25"/>
    <row r="1023" ht="15.75" customHeight="1" x14ac:dyDescent="0.25"/>
    <row r="1024" ht="15.75" customHeight="1" x14ac:dyDescent="0.25"/>
    <row r="1025" ht="15.75" customHeight="1" x14ac:dyDescent="0.25"/>
    <row r="1026" ht="15.75" customHeight="1" x14ac:dyDescent="0.25"/>
    <row r="1027" ht="15.75" customHeight="1" x14ac:dyDescent="0.25"/>
    <row r="1028" ht="15.75" customHeight="1" x14ac:dyDescent="0.25"/>
    <row r="1029" ht="15.75" customHeight="1" x14ac:dyDescent="0.25"/>
    <row r="1030" ht="15.75" customHeight="1" x14ac:dyDescent="0.25"/>
    <row r="1031" ht="15.75" customHeight="1" x14ac:dyDescent="0.25"/>
    <row r="1032" ht="15.75" customHeight="1" x14ac:dyDescent="0.25"/>
    <row r="1033" ht="15.75" customHeight="1" x14ac:dyDescent="0.25"/>
    <row r="1034" ht="15.75" customHeight="1" x14ac:dyDescent="0.25"/>
    <row r="1035" ht="15.75" customHeight="1" x14ac:dyDescent="0.25"/>
    <row r="1036" ht="15.75" customHeight="1" x14ac:dyDescent="0.25"/>
    <row r="1037" ht="15.75" customHeight="1" x14ac:dyDescent="0.25"/>
    <row r="1038" ht="15.75" customHeight="1" x14ac:dyDescent="0.25"/>
    <row r="1039" ht="15.75" customHeight="1" x14ac:dyDescent="0.25"/>
    <row r="1040" ht="15.75" customHeight="1" x14ac:dyDescent="0.25"/>
    <row r="1041" ht="15.75" customHeight="1" x14ac:dyDescent="0.25"/>
    <row r="1042" ht="15.75" customHeight="1" x14ac:dyDescent="0.25"/>
    <row r="1043" ht="15.75" customHeight="1" x14ac:dyDescent="0.25"/>
    <row r="1044" ht="15.75" customHeight="1" x14ac:dyDescent="0.25"/>
    <row r="1045" ht="15.75" customHeight="1" x14ac:dyDescent="0.25"/>
    <row r="1046" ht="15.75" customHeight="1" x14ac:dyDescent="0.25"/>
    <row r="1047" ht="15.75" customHeight="1" x14ac:dyDescent="0.25"/>
    <row r="1048" ht="15.75" customHeight="1" x14ac:dyDescent="0.25"/>
    <row r="1049" ht="15.75" customHeight="1" x14ac:dyDescent="0.25"/>
    <row r="1050" ht="15.75" customHeight="1" x14ac:dyDescent="0.25"/>
    <row r="1051" ht="15.75" customHeight="1" x14ac:dyDescent="0.25"/>
    <row r="1052" ht="15.75" customHeight="1" x14ac:dyDescent="0.25"/>
    <row r="1053" ht="15.75" customHeight="1" x14ac:dyDescent="0.25"/>
    <row r="1054" ht="15.75" customHeight="1" x14ac:dyDescent="0.25"/>
    <row r="1055" ht="15.75" customHeight="1" x14ac:dyDescent="0.25"/>
    <row r="1056" ht="15.75" customHeight="1" x14ac:dyDescent="0.25"/>
    <row r="1057" ht="15.75" customHeight="1" x14ac:dyDescent="0.25"/>
    <row r="1058" ht="15.75" customHeight="1" x14ac:dyDescent="0.25"/>
    <row r="1059" ht="15.75" customHeight="1" x14ac:dyDescent="0.25"/>
    <row r="1060" ht="15.75" customHeight="1" x14ac:dyDescent="0.25"/>
    <row r="1061" ht="15.75" customHeight="1" x14ac:dyDescent="0.25"/>
    <row r="1062" ht="15.75" customHeight="1" x14ac:dyDescent="0.25"/>
    <row r="1063" ht="15.75" customHeight="1" x14ac:dyDescent="0.25"/>
    <row r="1064" ht="15.75" customHeight="1" x14ac:dyDescent="0.25"/>
    <row r="1065" ht="15.75" customHeight="1" x14ac:dyDescent="0.25"/>
    <row r="1066" ht="15.75" customHeight="1" x14ac:dyDescent="0.25"/>
    <row r="1067" ht="15.75" customHeight="1" x14ac:dyDescent="0.25"/>
    <row r="1068" ht="15.75" customHeight="1" x14ac:dyDescent="0.25"/>
    <row r="1069" ht="15.75" customHeight="1" x14ac:dyDescent="0.25"/>
    <row r="1070" ht="15.75" customHeight="1" x14ac:dyDescent="0.25"/>
    <row r="1071" ht="15.75" customHeight="1" x14ac:dyDescent="0.25"/>
    <row r="1072" ht="15.75" customHeight="1" x14ac:dyDescent="0.25"/>
    <row r="1073" ht="15.75" customHeight="1" x14ac:dyDescent="0.25"/>
    <row r="1074" ht="15.75" customHeight="1" x14ac:dyDescent="0.25"/>
    <row r="1075" ht="15.75" customHeight="1" x14ac:dyDescent="0.25"/>
    <row r="1076" ht="15.75" customHeight="1" x14ac:dyDescent="0.25"/>
    <row r="1077" ht="15.75" customHeight="1" x14ac:dyDescent="0.25"/>
    <row r="1078" ht="15.75" customHeight="1" x14ac:dyDescent="0.25"/>
    <row r="1079" ht="15.75" customHeight="1" x14ac:dyDescent="0.25"/>
    <row r="1080" ht="15.75" customHeight="1" x14ac:dyDescent="0.25"/>
    <row r="1081" ht="15.75" customHeight="1" x14ac:dyDescent="0.25"/>
    <row r="1082" ht="15.75" customHeight="1" x14ac:dyDescent="0.25"/>
    <row r="1083" ht="15.75" customHeight="1" x14ac:dyDescent="0.25"/>
    <row r="1084" ht="15.75" customHeight="1" x14ac:dyDescent="0.25"/>
    <row r="1085" ht="15.75" customHeight="1" x14ac:dyDescent="0.25"/>
    <row r="1086" ht="15.75" customHeight="1" x14ac:dyDescent="0.25"/>
    <row r="1087" ht="15.75" customHeight="1" x14ac:dyDescent="0.25"/>
    <row r="1088" ht="15.75" customHeight="1" x14ac:dyDescent="0.25"/>
    <row r="1089" ht="15.75" customHeight="1" x14ac:dyDescent="0.25"/>
    <row r="1090" ht="15.75" customHeight="1" x14ac:dyDescent="0.25"/>
    <row r="1091" ht="15.75" customHeight="1" x14ac:dyDescent="0.25"/>
    <row r="1092" ht="15.75" customHeight="1" x14ac:dyDescent="0.25"/>
    <row r="1093" ht="15.75" customHeight="1" x14ac:dyDescent="0.25"/>
    <row r="1094" ht="15.75" customHeight="1" x14ac:dyDescent="0.25"/>
    <row r="1095" ht="15.75" customHeight="1" x14ac:dyDescent="0.25"/>
    <row r="1096" ht="15.75" customHeight="1" x14ac:dyDescent="0.25"/>
    <row r="1097" ht="15.75" customHeight="1" x14ac:dyDescent="0.25"/>
    <row r="1098" ht="15.75" customHeight="1" x14ac:dyDescent="0.25"/>
  </sheetData>
  <mergeCells count="48">
    <mergeCell ref="F95:F104"/>
    <mergeCell ref="F109:F118"/>
    <mergeCell ref="C109:C118"/>
    <mergeCell ref="C119:C128"/>
    <mergeCell ref="C174:C182"/>
    <mergeCell ref="F147:F155"/>
    <mergeCell ref="F156:F164"/>
    <mergeCell ref="G147:G155"/>
    <mergeCell ref="G156:G164"/>
    <mergeCell ref="G165:G173"/>
    <mergeCell ref="G174:G182"/>
    <mergeCell ref="C147:C155"/>
    <mergeCell ref="C156:C164"/>
    <mergeCell ref="C165:C173"/>
    <mergeCell ref="F165:F171"/>
    <mergeCell ref="A135:A194"/>
    <mergeCell ref="B63:B74"/>
    <mergeCell ref="B111:B122"/>
    <mergeCell ref="B123:B134"/>
    <mergeCell ref="B159:B170"/>
    <mergeCell ref="B171:B182"/>
    <mergeCell ref="B183:B194"/>
    <mergeCell ref="B87:B98"/>
    <mergeCell ref="B99:B110"/>
    <mergeCell ref="B75:B86"/>
    <mergeCell ref="A63:A134"/>
    <mergeCell ref="C85:C94"/>
    <mergeCell ref="C95:C104"/>
    <mergeCell ref="H3:L58"/>
    <mergeCell ref="B2:G2"/>
    <mergeCell ref="B147:B158"/>
    <mergeCell ref="B135:B146"/>
    <mergeCell ref="G75:G134"/>
    <mergeCell ref="D87:D122"/>
    <mergeCell ref="F75:F86"/>
    <mergeCell ref="F119:F130"/>
    <mergeCell ref="C105:C108"/>
    <mergeCell ref="D75:D86"/>
    <mergeCell ref="C129:C134"/>
    <mergeCell ref="F105:F108"/>
    <mergeCell ref="E75:E122"/>
    <mergeCell ref="C75:C84"/>
    <mergeCell ref="A3:A62"/>
    <mergeCell ref="B51:B62"/>
    <mergeCell ref="B39:B50"/>
    <mergeCell ref="B3:B14"/>
    <mergeCell ref="B15:B26"/>
    <mergeCell ref="B27:B38"/>
  </mergeCells>
  <conditionalFormatting sqref="B64:B69 B76:B81 B88:B93 B100:B105 B112:B113 B124:B125 A135 B135:B137 B147:B149 B159:B161 B171:B173 B183:B185 A3:G7 A8:C62 E8:G62">
    <cfRule type="notContainsBlanks" dxfId="5" priority="6">
      <formula>LEN(TRIM(A3))&gt;0</formula>
    </cfRule>
  </conditionalFormatting>
  <conditionalFormatting sqref="D34:D49 D69:D70 D52:D54">
    <cfRule type="notContainsBlanks" dxfId="4" priority="5">
      <formula>LEN(TRIM(D34))&gt;0</formula>
    </cfRule>
  </conditionalFormatting>
  <conditionalFormatting sqref="D50:D51">
    <cfRule type="notContainsBlanks" dxfId="3" priority="4">
      <formula>LEN(TRIM(D50))&gt;0</formula>
    </cfRule>
  </conditionalFormatting>
  <conditionalFormatting sqref="D55:D62">
    <cfRule type="notContainsBlanks" dxfId="2" priority="3">
      <formula>LEN(TRIM(D55))&gt;0</formula>
    </cfRule>
  </conditionalFormatting>
  <conditionalFormatting sqref="D8:D11">
    <cfRule type="notContainsBlanks" dxfId="1" priority="2">
      <formula>LEN(TRIM(D8))&gt;0</formula>
    </cfRule>
  </conditionalFormatting>
  <conditionalFormatting sqref="D12:D33">
    <cfRule type="notContainsBlanks" dxfId="0" priority="1">
      <formula>LEN(TRIM(D12))&gt;0</formula>
    </cfRule>
  </conditionalFormatting>
  <pageMargins left="0.511811024" right="0.511811024" top="0.78740157499999996" bottom="0.78740157499999996" header="0" footer="0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3A33A6-01ED-4414-B3E5-801C923F944D}">
  <sheetPr codeName="Planilha2"/>
  <dimension ref="A1:K12"/>
  <sheetViews>
    <sheetView tabSelected="1" workbookViewId="0">
      <selection activeCell="I16" sqref="I16"/>
    </sheetView>
  </sheetViews>
  <sheetFormatPr defaultRowHeight="13.2" x14ac:dyDescent="0.25"/>
  <cols>
    <col min="1" max="1" width="36.109375" bestFit="1" customWidth="1"/>
    <col min="2" max="2" width="15.21875" hidden="1" customWidth="1"/>
    <col min="3" max="6" width="8.88671875" hidden="1" customWidth="1"/>
    <col min="7" max="7" width="12.88671875" bestFit="1" customWidth="1"/>
    <col min="8" max="9" width="10.5546875" bestFit="1" customWidth="1"/>
    <col min="10" max="11" width="11.5546875" bestFit="1" customWidth="1"/>
  </cols>
  <sheetData>
    <row r="1" spans="1:11" x14ac:dyDescent="0.25">
      <c r="A1" s="18" t="s">
        <v>31</v>
      </c>
      <c r="B1" s="18">
        <v>8</v>
      </c>
      <c r="C1" s="18"/>
      <c r="D1" s="18"/>
      <c r="E1" s="18"/>
      <c r="F1" s="18"/>
      <c r="G1" s="18" t="s">
        <v>40</v>
      </c>
      <c r="H1" s="18" t="s">
        <v>41</v>
      </c>
      <c r="I1" s="18" t="s">
        <v>42</v>
      </c>
      <c r="J1" s="18" t="s">
        <v>43</v>
      </c>
      <c r="K1" s="18" t="s">
        <v>44</v>
      </c>
    </row>
    <row r="2" spans="1:11" hidden="1" x14ac:dyDescent="0.25">
      <c r="A2" s="18" t="s">
        <v>30</v>
      </c>
      <c r="B2" s="18">
        <v>40</v>
      </c>
      <c r="C2" s="18"/>
      <c r="D2" s="18"/>
      <c r="E2" s="18"/>
      <c r="F2" s="18"/>
      <c r="G2" s="18"/>
      <c r="H2" s="18"/>
      <c r="I2" s="18"/>
      <c r="J2" s="18"/>
      <c r="K2" s="18"/>
    </row>
    <row r="3" spans="1:11" hidden="1" x14ac:dyDescent="0.25">
      <c r="A3" s="18" t="s">
        <v>32</v>
      </c>
      <c r="B3" s="18">
        <v>5</v>
      </c>
      <c r="C3" s="18"/>
      <c r="D3" s="18"/>
      <c r="E3" s="18"/>
      <c r="F3" s="18"/>
      <c r="G3" s="18"/>
      <c r="H3" s="18"/>
      <c r="I3" s="18"/>
      <c r="J3" s="18"/>
      <c r="K3" s="18"/>
    </row>
    <row r="4" spans="1:11" x14ac:dyDescent="0.25">
      <c r="A4" s="18" t="s">
        <v>33</v>
      </c>
      <c r="B4" s="18">
        <f>TempoAlocadoEmMinutos(Página1!D$15:D$38,$B$3)</f>
        <v>0</v>
      </c>
      <c r="C4" s="18"/>
      <c r="D4" s="18"/>
      <c r="E4" s="18"/>
      <c r="F4" s="18"/>
      <c r="G4" s="19">
        <f ca="1">TempoAlocadoEmMinutos(Página1!C$3:C$193,$B$3)</f>
        <v>480</v>
      </c>
      <c r="H4" s="19">
        <f ca="1">TempoAlocadoEmMinutos(Página1!D$3:D$193,$B$3)</f>
        <v>240</v>
      </c>
      <c r="I4" s="19">
        <f ca="1">TempoAlocadoEmMinutos(Página1!E$3:E$193,$B$3)</f>
        <v>240</v>
      </c>
      <c r="J4" s="19">
        <f ca="1">TempoAlocadoEmMinutos(Página1!F$3:F$193,$B$3)</f>
        <v>365</v>
      </c>
      <c r="K4" s="19">
        <f ca="1">TempoAlocadoEmMinutos(Página1!G$3:G$193,$B$3)</f>
        <v>480</v>
      </c>
    </row>
    <row r="5" spans="1:11" x14ac:dyDescent="0.25">
      <c r="A5" s="18" t="s">
        <v>34</v>
      </c>
      <c r="B5" s="18">
        <f xml:space="preserve"> TempoAlocadoEmHoras(Página1!D$15:D$38,$B$3)</f>
        <v>0</v>
      </c>
      <c r="C5" s="18"/>
      <c r="D5" s="18"/>
      <c r="E5" s="18"/>
      <c r="F5" s="18"/>
      <c r="G5" s="19">
        <f ca="1">G4/60</f>
        <v>8</v>
      </c>
      <c r="H5" s="19">
        <f t="shared" ref="H5:K5" ca="1" si="0">H4/60</f>
        <v>4</v>
      </c>
      <c r="I5" s="19">
        <f t="shared" ca="1" si="0"/>
        <v>4</v>
      </c>
      <c r="J5" s="19">
        <f t="shared" ca="1" si="0"/>
        <v>6.083333333333333</v>
      </c>
      <c r="K5" s="19">
        <f t="shared" ca="1" si="0"/>
        <v>8</v>
      </c>
    </row>
    <row r="6" spans="1:11" x14ac:dyDescent="0.25">
      <c r="A6" s="18" t="s">
        <v>45</v>
      </c>
      <c r="B6" s="18">
        <f>2-B5</f>
        <v>2</v>
      </c>
      <c r="C6" s="18"/>
      <c r="D6" s="18"/>
      <c r="E6" s="18"/>
      <c r="F6" s="18"/>
      <c r="G6" s="19">
        <f ca="1">$B$1-G5</f>
        <v>0</v>
      </c>
      <c r="H6" s="19">
        <f t="shared" ref="H6" ca="1" si="1">$B$1-H5</f>
        <v>4</v>
      </c>
      <c r="I6" s="19">
        <f ca="1">$B$1-I5</f>
        <v>4</v>
      </c>
      <c r="J6" s="19">
        <f t="shared" ref="J6" ca="1" si="2">$B$1-J5</f>
        <v>1.916666666666667</v>
      </c>
      <c r="K6" s="19">
        <f t="shared" ref="K6" ca="1" si="3">$B$1-K5</f>
        <v>0</v>
      </c>
    </row>
    <row r="7" spans="1:11" x14ac:dyDescent="0.25">
      <c r="A7" s="18" t="s">
        <v>38</v>
      </c>
      <c r="B7" s="18">
        <f>QtdCelulasPreenchidas(Página1!D$15:D$38)</f>
        <v>0</v>
      </c>
      <c r="C7" s="18"/>
      <c r="D7" s="18"/>
      <c r="E7" s="18"/>
      <c r="F7" s="18"/>
      <c r="G7" s="19">
        <f>QtdCelulasPreenchidas(Página1!C$3:C$193)</f>
        <v>0</v>
      </c>
      <c r="H7" s="19">
        <f>QtdCelulasPreenchidas(Página1!D$3:D$193)</f>
        <v>0</v>
      </c>
      <c r="I7" s="19">
        <f>QtdCelulasPreenchidas(Página1!E$3:E$193)</f>
        <v>0</v>
      </c>
      <c r="J7" s="19">
        <f>QtdCelulasPreenchidas(Página1!F$3:F$193)</f>
        <v>0</v>
      </c>
      <c r="K7" s="19">
        <f>QtdCelulasPreenchidas(Página1!G$3:G$193)</f>
        <v>0</v>
      </c>
    </row>
    <row r="8" spans="1:11" x14ac:dyDescent="0.25">
      <c r="A8" s="18" t="s">
        <v>39</v>
      </c>
      <c r="B8" s="18">
        <f>QtdCelulasQueFaltam(Página1!D$15:D$38,2,5)</f>
        <v>0</v>
      </c>
      <c r="C8" s="18"/>
      <c r="D8" s="18"/>
      <c r="E8" s="18"/>
      <c r="F8" s="18"/>
      <c r="G8" s="19">
        <f>QtdCelulasQueFaltam(Página1!C$3:C$193,$B$1,$B$3)</f>
        <v>0</v>
      </c>
      <c r="H8" s="19">
        <f>QtdCelulasQueFaltam(Página1!D$3:D$193,$B$1,$B$3)</f>
        <v>0</v>
      </c>
      <c r="I8" s="19">
        <f>QtdCelulasQueFaltam(Página1!E$3:E$193,$B$1,$B$3)</f>
        <v>0</v>
      </c>
      <c r="J8" s="19">
        <f>QtdCelulasQueFaltam(Página1!F$3:F$193,$B$1,$B$3)</f>
        <v>0</v>
      </c>
      <c r="K8" s="19">
        <f>QtdCelulasQueFaltam(Página1!G$3:G$193,$B$1,$B$3)</f>
        <v>0</v>
      </c>
    </row>
    <row r="11" spans="1:11" x14ac:dyDescent="0.25">
      <c r="A11" s="57" t="s">
        <v>37</v>
      </c>
      <c r="B11" s="18"/>
      <c r="C11" s="18"/>
      <c r="D11" s="18"/>
      <c r="E11" s="18"/>
      <c r="F11" s="18"/>
      <c r="G11" s="57" t="s">
        <v>35</v>
      </c>
      <c r="H11" s="57"/>
      <c r="I11" s="57" t="s">
        <v>36</v>
      </c>
      <c r="J11" s="57"/>
      <c r="K11" s="57"/>
    </row>
    <row r="12" spans="1:11" x14ac:dyDescent="0.25">
      <c r="A12" s="57"/>
      <c r="B12" s="18"/>
      <c r="C12" s="18"/>
      <c r="D12" s="18"/>
      <c r="E12" s="18"/>
      <c r="F12" s="18"/>
      <c r="G12" s="58">
        <f ca="1">SUM(G5:K5)</f>
        <v>30.083333333333332</v>
      </c>
      <c r="H12" s="58"/>
      <c r="I12" s="58">
        <f ca="1">$B$2-G12</f>
        <v>9.9166666666666679</v>
      </c>
      <c r="J12" s="58"/>
      <c r="K12" s="58"/>
    </row>
  </sheetData>
  <mergeCells count="5">
    <mergeCell ref="A11:A12"/>
    <mergeCell ref="G11:H11"/>
    <mergeCell ref="G12:H12"/>
    <mergeCell ref="I11:K11"/>
    <mergeCell ref="I12:K12"/>
  </mergeCells>
  <conditionalFormatting sqref="G1:K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6:K6">
    <cfRule type="colorScale" priority="4">
      <colorScale>
        <cfvo type="num" val="$B$1"/>
        <cfvo type="percentile" val="50"/>
        <cfvo type="num" val="0"/>
        <color rgb="FF92D050"/>
        <color rgb="FFFFEB84"/>
        <color rgb="FFFF0000"/>
      </colorScale>
    </cfRule>
  </conditionalFormatting>
  <conditionalFormatting sqref="G5:K5">
    <cfRule type="colorScale" priority="3">
      <colorScale>
        <cfvo type="num" val="$B$1"/>
        <cfvo type="percentile" val="50"/>
        <cfvo type="num" val="0"/>
        <color rgb="FFFF0000"/>
        <color rgb="FFFFEB84"/>
        <color rgb="FF92D050"/>
      </colorScale>
    </cfRule>
  </conditionalFormatting>
  <conditionalFormatting sqref="G12">
    <cfRule type="colorScale" priority="2">
      <colorScale>
        <cfvo type="num" val="0"/>
        <cfvo type="percentile" val="50"/>
        <cfvo type="num" val="$B$2"/>
        <color rgb="FFFF0000"/>
        <color rgb="FFFFEB84"/>
        <color rgb="FF92D050"/>
      </colorScale>
    </cfRule>
  </conditionalFormatting>
  <conditionalFormatting sqref="I12">
    <cfRule type="colorScale" priority="1">
      <colorScale>
        <cfvo type="num" val="0"/>
        <cfvo type="percentile" val="50"/>
        <cfvo type="num" val="$B$2"/>
        <color rgb="FFFF0000"/>
        <color rgb="FFFFEB84"/>
        <color rgb="FF92D050"/>
      </colorScale>
    </cfRule>
  </conditionalFormatting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49C4B5-48E1-4485-85EA-2C3C315DD845}">
  <sheetPr codeName="Planilha3"/>
  <dimension ref="C4:F15"/>
  <sheetViews>
    <sheetView workbookViewId="0">
      <selection activeCell="F16" sqref="F16"/>
    </sheetView>
  </sheetViews>
  <sheetFormatPr defaultRowHeight="13.2" x14ac:dyDescent="0.25"/>
  <sheetData>
    <row r="4" spans="3:6" x14ac:dyDescent="0.25">
      <c r="C4" s="18"/>
      <c r="D4" s="18"/>
      <c r="E4" s="18"/>
    </row>
    <row r="5" spans="3:6" x14ac:dyDescent="0.25">
      <c r="C5" s="18"/>
      <c r="D5" s="18"/>
      <c r="E5" s="18"/>
    </row>
    <row r="6" spans="3:6" x14ac:dyDescent="0.25">
      <c r="C6" s="18" t="s">
        <v>53</v>
      </c>
      <c r="D6" s="59">
        <v>2</v>
      </c>
      <c r="E6" s="18"/>
    </row>
    <row r="7" spans="3:6" x14ac:dyDescent="0.25">
      <c r="C7" s="18" t="s">
        <v>53</v>
      </c>
      <c r="D7" s="60"/>
      <c r="E7" s="18"/>
    </row>
    <row r="8" spans="3:6" x14ac:dyDescent="0.25">
      <c r="C8" s="18"/>
      <c r="D8" s="18"/>
      <c r="E8" s="18"/>
    </row>
    <row r="9" spans="3:6" x14ac:dyDescent="0.25">
      <c r="C9" s="18"/>
      <c r="D9" s="18"/>
      <c r="E9" s="18"/>
    </row>
    <row r="10" spans="3:6" x14ac:dyDescent="0.25">
      <c r="C10" s="18" t="s">
        <v>53</v>
      </c>
      <c r="D10" s="59">
        <v>2</v>
      </c>
      <c r="E10" s="18"/>
    </row>
    <row r="11" spans="3:6" x14ac:dyDescent="0.25">
      <c r="C11" s="18" t="s">
        <v>53</v>
      </c>
      <c r="D11" s="60"/>
      <c r="E11" s="18"/>
    </row>
    <row r="15" spans="3:6" x14ac:dyDescent="0.25">
      <c r="F15">
        <f>QtdCelulasPreenchidas(C4:E11)</f>
        <v>0</v>
      </c>
    </row>
  </sheetData>
  <mergeCells count="2">
    <mergeCell ref="D6:D7"/>
    <mergeCell ref="D10:D11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Página1</vt:lpstr>
      <vt:lpstr>Resumo</vt:lpstr>
      <vt:lpstr>Planilha1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Francisco Rodrigues</dc:creator>
  <cp:lastModifiedBy>Francisco Rodrigues</cp:lastModifiedBy>
  <dcterms:created xsi:type="dcterms:W3CDTF">2019-03-15T13:07:55Z</dcterms:created>
  <dcterms:modified xsi:type="dcterms:W3CDTF">2019-03-18T11:22:18Z</dcterms:modified>
</cp:coreProperties>
</file>